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w_b\Downloads\"/>
    </mc:Choice>
  </mc:AlternateContent>
  <xr:revisionPtr revIDLastSave="0" documentId="13_ncr:1_{2EA88055-2544-4279-9553-A3FD024A315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_xlnm._FilterDatabase" localSheetId="0" hidden="1">'Product Backlog'!$G$1:$G$29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P1" i="2" l="1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</calcChain>
</file>

<file path=xl/sharedStrings.xml><?xml version="1.0" encoding="utf-8"?>
<sst xmlns="http://schemas.openxmlformats.org/spreadsheetml/2006/main" count="903" uniqueCount="413">
  <si>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</si>
  <si>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</si>
  <si>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</si>
  <si>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</si>
  <si>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</si>
  <si>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</si>
  <si>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</si>
  <si>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</si>
  <si>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</si>
  <si>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</si>
  <si>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Requirement Analysis &amp; Scope Definition</t>
  </si>
  <si>
    <t>MUST HAVE</t>
  </si>
  <si>
    <t>No Dependency</t>
  </si>
  <si>
    <t>Deepika, Ananya, Kaliyappan</t>
  </si>
  <si>
    <t>3 - Completed</t>
  </si>
  <si>
    <t>US-002</t>
  </si>
  <si>
    <t>Finalize Technology Stack (Python, Dash, Plotly, MongoDB)</t>
  </si>
  <si>
    <t>Project Requirement Analysis</t>
  </si>
  <si>
    <t>Roshini, Apurva, Sai Durga</t>
  </si>
  <si>
    <t>US-003</t>
  </si>
  <si>
    <t>System Architecture Design</t>
  </si>
  <si>
    <t>Technology Stack Finalization</t>
  </si>
  <si>
    <t>US-004</t>
  </si>
  <si>
    <t>GitHub Repository &amp; Project Structure Setup</t>
  </si>
  <si>
    <t>Javeed, Sunez, Sandhya</t>
  </si>
  <si>
    <t>S2</t>
  </si>
  <si>
    <t>US-005</t>
  </si>
  <si>
    <t>Data Schema Design &amp; Pydantic Models</t>
  </si>
  <si>
    <t>GitHub &amp; Project Setup</t>
  </si>
  <si>
    <t>US-006</t>
  </si>
  <si>
    <t>MongoDB Atlas Configuration &amp; Query Helpers</t>
  </si>
  <si>
    <t>Data Schema Design</t>
  </si>
  <si>
    <t>US-007</t>
  </si>
  <si>
    <t>NVD CVE Feed Ingestion Module</t>
  </si>
  <si>
    <t>MongoDB Configuration</t>
  </si>
  <si>
    <t>S3</t>
  </si>
  <si>
    <t>US-008</t>
  </si>
  <si>
    <t>AbuseIPDB Malicious IP Feed Integration</t>
  </si>
  <si>
    <t>NVD Ingestion Module</t>
  </si>
  <si>
    <t>US-009</t>
  </si>
  <si>
    <t>AlienVault OTX Threat Pulse Integration</t>
  </si>
  <si>
    <t>API Key Configuration</t>
  </si>
  <si>
    <t>US-010</t>
  </si>
  <si>
    <t>Simulated Threat Data Generator</t>
  </si>
  <si>
    <t>US-011</t>
  </si>
  <si>
    <t>Master Ingestion Orchestrator (fetch_all)</t>
  </si>
  <si>
    <t>All Ingestion Modules</t>
  </si>
  <si>
    <t>US-012</t>
  </si>
  <si>
    <t>GeoIP Enrichment Engine (ip-api.com)</t>
  </si>
  <si>
    <t>AbuseIPDB Integration</t>
  </si>
  <si>
    <t>S4</t>
  </si>
  <si>
    <t>US-013</t>
  </si>
  <si>
    <t>MITRE ATT&amp;CK Threat Categorization Mapping</t>
  </si>
  <si>
    <t>Ingestion Orchestrator</t>
  </si>
  <si>
    <t>US-014</t>
  </si>
  <si>
    <t>ML Service – Severity Prediction (FastAPI)</t>
  </si>
  <si>
    <t>Threat Categorization</t>
  </si>
  <si>
    <t>Annas, Vibhushana, Shrusti</t>
  </si>
  <si>
    <t>US-015</t>
  </si>
  <si>
    <t>ML Service – Anomaly Detection &amp; Batch Scoring</t>
  </si>
  <si>
    <t>ML Severity Prediction</t>
  </si>
  <si>
    <t>US-016</t>
  </si>
  <si>
    <t>Alert Engine – Telegram &amp; Email Notifications</t>
  </si>
  <si>
    <t>Anomaly Detection Module</t>
  </si>
  <si>
    <t>S5</t>
  </si>
  <si>
    <t>US-017</t>
  </si>
  <si>
    <t>Time-Series &amp; Trend Charts</t>
  </si>
  <si>
    <t>MongoDB Query Helpers</t>
  </si>
  <si>
    <t>US-018</t>
  </si>
  <si>
    <t>Geospatial Threat Map – Choropleth &amp; Scatter Geo</t>
  </si>
  <si>
    <t>GeoIP Enrichment Engine</t>
  </si>
  <si>
    <t>US-019</t>
  </si>
  <si>
    <t>Treemap / Sunburst – MITRE Hierarchy Visualization</t>
  </si>
  <si>
    <t>MITRE ATT&amp;CK Mapping</t>
  </si>
  <si>
    <t>US-020</t>
  </si>
  <si>
    <t>Threat Intelligence Tab – IOC Lookup &amp; OTX Pulses</t>
  </si>
  <si>
    <t>AbuseIPDB &amp; OTX Integrations</t>
  </si>
  <si>
    <t>US-021</t>
  </si>
  <si>
    <t>Network Scanner Module (Nmap)</t>
  </si>
  <si>
    <t>Backend Services Setup</t>
  </si>
  <si>
    <t>US-022</t>
  </si>
  <si>
    <t>URL / QR Code Scanner Module</t>
  </si>
  <si>
    <t>US-023</t>
  </si>
  <si>
    <t>GitHub Actions Cron Scheduler (15-min ingestion)</t>
  </si>
  <si>
    <t>US-024</t>
  </si>
  <si>
    <t>Dash Application Integration &amp; Interactive Filters</t>
  </si>
  <si>
    <t>All Visualization Modules</t>
  </si>
  <si>
    <t>US-025</t>
  </si>
  <si>
    <t>Executive Report Generator</t>
  </si>
  <si>
    <t>SHOULD HAVE</t>
  </si>
  <si>
    <t>Dashboard Integration</t>
  </si>
  <si>
    <t>US-026</t>
  </si>
  <si>
    <t>Render.com Cloud Deployment &amp; Environment Config</t>
  </si>
  <si>
    <t>Dash Application</t>
  </si>
  <si>
    <t>US-027</t>
  </si>
  <si>
    <t>System Testing, Bug Fixes &amp; Performance Tuning</t>
  </si>
  <si>
    <t>Complete Integrated System</t>
  </si>
  <si>
    <t>US-028</t>
  </si>
  <si>
    <t>Agile Documentation Preparation</t>
  </si>
  <si>
    <t>Sprint Records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</si>
  <si>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</si>
  <si>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</si>
  <si>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</si>
  <si>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</si>
  <si>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</si>
  <si>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</si>
  <si>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
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</si>
  <si>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</si>
  <si>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</si>
  <si>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</si>
  <si>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</si>
  <si>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</si>
  <si>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</si>
  <si>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</si>
  <si>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</si>
  <si>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</si>
  <si>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</si>
  <si>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</si>
  <si>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</si>
  <si>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</si>
  <si>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</si>
  <si>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</si>
  <si>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</si>
  <si>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</si>
  <si>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</si>
  <si>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</si>
  <si>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</si>
  <si>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</si>
  <si>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</si>
  <si>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</si>
  <si>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</si>
  <si>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</si>
  <si>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</si>
  <si>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</si>
  <si>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</si>
  <si>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</si>
  <si>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</si>
  <si>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</si>
  <si>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</si>
  <si>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</si>
  <si>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T-001</t>
  </si>
  <si>
    <t>Gather project objectives and define functional requirements</t>
  </si>
  <si>
    <t>2026-02-11</t>
  </si>
  <si>
    <t>2026-02-12</t>
  </si>
  <si>
    <t>Deepika</t>
  </si>
  <si>
    <t>Planning</t>
  </si>
  <si>
    <t>T-002</t>
  </si>
  <si>
    <t>Identify data sources: NVD, AbuseIPDB, OTX, Simulated</t>
  </si>
  <si>
    <t>Ananya</t>
  </si>
  <si>
    <t>T-003</t>
  </si>
  <si>
    <t>Create project scope document and module breakdown</t>
  </si>
  <si>
    <t>Kaliyappan</t>
  </si>
  <si>
    <t>T-004</t>
  </si>
  <si>
    <t>Evaluate Python/Dash/Plotly vs alternative stacks</t>
  </si>
  <si>
    <t>2026-02-13</t>
  </si>
  <si>
    <t>Roshini</t>
  </si>
  <si>
    <t>T-005</t>
  </si>
  <si>
    <t>Finalize stack: Python, Dash, Plotly, MongoDB Atlas</t>
  </si>
  <si>
    <t>Apurva</t>
  </si>
  <si>
    <t>T-006</t>
  </si>
  <si>
    <t>Design layered architecture diagram (4 modules)</t>
  </si>
  <si>
    <t>2026-02-14</t>
  </si>
  <si>
    <t>T-007</t>
  </si>
  <si>
    <t>Define data flow: APIs → ingestion → MongoDB → dashboard</t>
  </si>
  <si>
    <t>Sai Durga</t>
  </si>
  <si>
    <t>T-008</t>
  </si>
  <si>
    <t>Initialize GitHub repo and define folder structure</t>
  </si>
  <si>
    <t>2026-02-15</t>
  </si>
  <si>
    <t>Javeed</t>
  </si>
  <si>
    <t>Setup</t>
  </si>
  <si>
    <t>T-009</t>
  </si>
  <si>
    <t>Setup .env, requirements.txt, .gitignore</t>
  </si>
  <si>
    <t>Sandhya</t>
  </si>
  <si>
    <t>T-010</t>
  </si>
  <si>
    <t>Configure environment settings and constants</t>
  </si>
  <si>
    <t>2026-02-16</t>
  </si>
  <si>
    <t>Sunez</t>
  </si>
  <si>
    <t>T-011</t>
  </si>
  <si>
    <t>Design ThreatEvent Pydantic schema</t>
  </si>
  <si>
    <t>2026-02-17</t>
  </si>
  <si>
    <t>T-012</t>
  </si>
  <si>
    <t>Design CVEEvent and GeoLocation models</t>
  </si>
  <si>
    <t>2026-02-18</t>
  </si>
  <si>
    <t>T-013</t>
  </si>
  <si>
    <t>Connect to MongoDB Atlas (M0 free tier)</t>
  </si>
  <si>
    <t>T-014</t>
  </si>
  <si>
    <t>Build aggregate query helpers for dashboard</t>
  </si>
  <si>
    <t>2026-02-19</t>
  </si>
  <si>
    <t>T-015</t>
  </si>
  <si>
    <t>Create and verify MongoDB indexes</t>
  </si>
  <si>
    <t>T-016</t>
  </si>
  <si>
    <t>Implement NVD CVE API fetcher with rate-limit handling</t>
  </si>
  <si>
    <t>2026-02-20</t>
  </si>
  <si>
    <t>Coding</t>
  </si>
  <si>
    <t>T-017</t>
  </si>
  <si>
    <t>Normalize CVE data to ThreatEvent schema</t>
  </si>
  <si>
    <t>2026-02-21</t>
  </si>
  <si>
    <t>T-018</t>
  </si>
  <si>
    <t>Integrate AbuseIPDB blacklist API</t>
  </si>
  <si>
    <t>2026-02-23</t>
  </si>
  <si>
    <t>2026-02-24</t>
  </si>
  <si>
    <t>T-019</t>
  </si>
  <si>
    <t>Parse AbuseIPDB response and store to MongoDB</t>
  </si>
  <si>
    <t>T-020</t>
  </si>
  <si>
    <t>Integrate AlienVault OTX pulse feed</t>
  </si>
  <si>
    <t>T-021</t>
  </si>
  <si>
    <t>Map OTX data to ThreatEvent model</t>
  </si>
  <si>
    <t>2026-02-25</t>
  </si>
  <si>
    <t>T-022</t>
  </si>
  <si>
    <t>Build simulate_data.py with realistic distributions</t>
  </si>
  <si>
    <t>T-023</t>
  </si>
  <si>
    <t>Generate 500+ simulated events for dev/demo</t>
  </si>
  <si>
    <t>T-024</t>
  </si>
  <si>
    <t>Build fetch_all.py master orchestrator</t>
  </si>
  <si>
    <t>2026-02-26</t>
  </si>
  <si>
    <t>T-025</t>
  </si>
  <si>
    <t>Add error isolation per source in orchestrator</t>
  </si>
  <si>
    <t>T-026</t>
  </si>
  <si>
    <t>Integrate ip-api.com for GeoIP country/city lookup</t>
  </si>
  <si>
    <t>2026-02-27</t>
  </si>
  <si>
    <t>T-027</t>
  </si>
  <si>
    <t>Attach latitude/longitude to each ThreatEvent</t>
  </si>
  <si>
    <t>2026-02-28</t>
  </si>
  <si>
    <t>T-028</t>
  </si>
  <si>
    <t>Map attack types to MITRE ATT&amp;CK techniques</t>
  </si>
  <si>
    <t>2026-03-02</t>
  </si>
  <si>
    <t>2026-03-03</t>
  </si>
  <si>
    <t>T-029</t>
  </si>
  <si>
    <t>Validate MITRE tactic/technique categorization</t>
  </si>
  <si>
    <t>T-030</t>
  </si>
  <si>
    <t>Train ML severity prediction model (Random Forest)</t>
  </si>
  <si>
    <t>2026-03-04</t>
  </si>
  <si>
    <t>Annas</t>
  </si>
  <si>
    <t>T-031</t>
  </si>
  <si>
    <t>Expose /predict endpoint via FastAPI</t>
  </si>
  <si>
    <t>Vibhushana</t>
  </si>
  <si>
    <t>T-032</t>
  </si>
  <si>
    <t>Build /anomaly/batch endpoint for hourly count scoring</t>
  </si>
  <si>
    <t>2026-03-05</t>
  </si>
  <si>
    <t>Shrusti</t>
  </si>
  <si>
    <t>T-033</t>
  </si>
  <si>
    <t>Add /classify attack type endpoint</t>
  </si>
  <si>
    <t>T-034</t>
  </si>
  <si>
    <t>Implement Telegram bot alert delivery</t>
  </si>
  <si>
    <t>2026-03-06</t>
  </si>
  <si>
    <t>T-035</t>
  </si>
  <si>
    <t>Implement Email (SendGrid/SMTP) alert delivery</t>
  </si>
  <si>
    <t>T-036</t>
  </si>
  <si>
    <t>Add alert deduplication and cooldown logic</t>
  </si>
  <si>
    <t>2026-03-07</t>
  </si>
  <si>
    <t>T-037</t>
  </si>
  <si>
    <t>Build time-series chart for attack frequency</t>
  </si>
  <si>
    <t>2026-03-09</t>
  </si>
  <si>
    <t>T-038</t>
  </si>
  <si>
    <t>Build severity distribution bar chart</t>
  </si>
  <si>
    <t>2026-03-10</t>
  </si>
  <si>
    <t>T-039</t>
  </si>
  <si>
    <t>Build attack-type donut and heatmap charts</t>
  </si>
  <si>
    <t>T-040</t>
  </si>
  <si>
    <t>Build Plotly choropleth world threat map</t>
  </si>
  <si>
    <t>T-041</t>
  </si>
  <si>
    <t>Add scatter-geo overlay for individual IP incidents</t>
  </si>
  <si>
    <t>2026-03-11</t>
  </si>
  <si>
    <t>T-042</t>
  </si>
  <si>
    <t>Build treemap chart for MITRE tactic breakdown</t>
  </si>
  <si>
    <t>T-043</t>
  </si>
  <si>
    <t>Build sunburst chart for tactic→technique hierarchy</t>
  </si>
  <si>
    <t>T-044</t>
  </si>
  <si>
    <t>Build IOC lookup panel (AbuseIPDB + OTX)</t>
  </si>
  <si>
    <t>2026-03-12</t>
  </si>
  <si>
    <t>T-045</t>
  </si>
  <si>
    <t>Display recent OTX pulses and top reported IPs</t>
  </si>
  <si>
    <t>T-046</t>
  </si>
  <si>
    <t>Develop Nmap network scanner integration</t>
  </si>
  <si>
    <t>T-047</t>
  </si>
  <si>
    <t>Display scan results on dashboard security tools tab</t>
  </si>
  <si>
    <t>T-048</t>
  </si>
  <si>
    <t>Build URL maliciousness scanner module</t>
  </si>
  <si>
    <t>T-049</t>
  </si>
  <si>
    <t>Add QR code decode and scan pipeline</t>
  </si>
  <si>
    <t>2026-03-13</t>
  </si>
  <si>
    <t>T-050</t>
  </si>
  <si>
    <t>Configure GitHub Actions cron workflow</t>
  </si>
  <si>
    <t>T-051</t>
  </si>
  <si>
    <t>Add GitHub Secrets for API keys and MONGO_URI</t>
  </si>
  <si>
    <t>T-052</t>
  </si>
  <si>
    <t>Integrate all visualizations into Dash app.py</t>
  </si>
  <si>
    <t>T-053</t>
  </si>
  <si>
    <t>Add interactive filters (date range, severity, country)</t>
  </si>
  <si>
    <t>2026-03-14</t>
  </si>
  <si>
    <t>T-054</t>
  </si>
  <si>
    <t>Apply custom CSS for alerts panel and dropdowns</t>
  </si>
  <si>
    <t>T-055</t>
  </si>
  <si>
    <t>Build report generator for PDF/HTML export</t>
  </si>
  <si>
    <t>T-056</t>
  </si>
  <si>
    <t>Format executive summary with top CVEs and risk profile</t>
  </si>
  <si>
    <t>T-057</t>
  </si>
  <si>
    <t>Configure render.yaml for Render.com web service</t>
  </si>
  <si>
    <t>T-058</t>
  </si>
  <si>
    <t>Set all production environment variables on Render</t>
  </si>
  <si>
    <t>2026-03-15</t>
  </si>
  <si>
    <t>T-059</t>
  </si>
  <si>
    <t>Perform end-to-end integration testing on all modules</t>
  </si>
  <si>
    <t>Testing</t>
  </si>
  <si>
    <t>T-060</t>
  </si>
  <si>
    <t>Fix bugs identified during integration testing</t>
  </si>
  <si>
    <t>T-061</t>
  </si>
  <si>
    <t>Optimize MongoDB queries and dashboard load time</t>
  </si>
  <si>
    <t>T-062</t>
  </si>
  <si>
    <t>Prepare Product Backlog and Sprint Backlog sheets</t>
  </si>
  <si>
    <t>Documentation</t>
  </si>
  <si>
    <t>T-063</t>
  </si>
  <si>
    <t>Record Stand-up meetings and Retrospection data</t>
  </si>
  <si>
    <t>T-064</t>
  </si>
  <si>
    <t>Finalize and review complete Agile documentation</t>
  </si>
  <si>
    <t>Sprint</t>
  </si>
  <si>
    <t>Day</t>
  </si>
  <si>
    <t>Impediment / Issue</t>
  </si>
  <si>
    <t>Action Taken</t>
  </si>
  <si>
    <t>Sprint 1</t>
  </si>
  <si>
    <t>Day 2 (12-Feb)</t>
  </si>
  <si>
    <t>Uncertainty in deciding the final Python dashboard framework (Dash vs Streamlit)</t>
  </si>
  <si>
    <t>Team compared both frameworks; agreed on Plotly Dash for native Plotly integration and richer interactivity.</t>
  </si>
  <si>
    <t>Day 4 (14-Feb)</t>
  </si>
  <si>
    <t>Confusion around layered architecture and boundaries between the 4 modules</t>
  </si>
  <si>
    <t>Conducted whiteboard session; finalized ingestion → processing → storage → dashboard flow with clear module ownership.</t>
  </si>
  <si>
    <t>Day 6 (16-Feb)</t>
  </si>
  <si>
    <t>Difficulty setting up MongoDB Atlas M0 free tier and obtaining the connection string</t>
  </si>
  <si>
    <t>Followed official Atlas documentation step-by-step; verified connection using a PyMongo test script before proceeding.</t>
  </si>
  <si>
    <t>Sprint 2</t>
  </si>
  <si>
    <t>Day 8 (18-Feb)</t>
  </si>
  <si>
    <t>Pydantic schema validation errors when normalising NVD CVE response fields to ThreatEvent model</t>
  </si>
  <si>
    <t>Debugged field type mismatches; updated ThreatEvent to handle optional fields with safe default values.</t>
  </si>
  <si>
    <t>Day 10 (20-Feb)</t>
  </si>
  <si>
    <t>NVD API rate limiting causing incomplete CVE fetch runs during testing</t>
  </si>
  <si>
    <t>Implemented request delay and retry logic in fetch_nvd.py; reduced redundant calls by caching recent results locally.</t>
  </si>
  <si>
    <t>Day 12 (22-Feb)</t>
  </si>
  <si>
    <t>Inconsistent JSON response structures returned by NVD, AbuseIPDB, and OTX APIs</t>
  </si>
  <si>
    <t>Built per-source normalizer functions that map raw API fields to the unified ThreatEvent schema before MongoDB insertion.</t>
  </si>
  <si>
    <t>Day 14 (24-Feb)</t>
  </si>
  <si>
    <t>AbuseIPDB returning incomplete or missing geolocation data for several IPs</t>
  </si>
  <si>
    <t>Added ip-api.com as a secondary GeoIP resolver in fetch_abuseipdb.py with fallback logic for missing location fields.</t>
  </si>
  <si>
    <t>Sprint 3</t>
  </si>
  <si>
    <t>Day 15 (25-Feb)</t>
  </si>
  <si>
    <t>AlienVault OTX pulse payload too large, significantly slowing ingestion run duration</t>
  </si>
  <si>
    <t>Added pagination control and filtered to only recent pulses (last 7 days) in fetch_otx.py to reduce payload size.</t>
  </si>
  <si>
    <t>Day 17 (27-Feb)</t>
  </si>
  <si>
    <t>Simulated data generator producing unrealistic geographic and attack-type distributions</t>
  </si>
  <si>
    <t>Revised simulation weights in simulate_data.py using real-world attack origin statistics; rebalanced country and type frequency.</t>
  </si>
  <si>
    <t>Day 19 (01-Mar)</t>
  </si>
  <si>
    <t>fetch_all.py orchestrator failing silently when one data source raised an unhandled exception</t>
  </si>
  <si>
    <t>Wrapped each source call in isolated try/except with detailed logging; one source failure no longer halts remaining sources.</t>
  </si>
  <si>
    <t>Day 21 (03-Mar)</t>
  </si>
  <si>
    <t>MongoDB aggregate query helpers returning stale or incorrect counts under certain filter combinations</t>
  </si>
  <si>
    <t>Reviewed and corrected aggregation pipeline stages in database.py; added index verification to ensure query performance.</t>
  </si>
  <si>
    <t>Sprint 4</t>
  </si>
  <si>
    <t>Day 22 (04-Mar)</t>
  </si>
  <si>
    <t>ML model training failing due to severely imbalanced severity class labels in training data</t>
  </si>
  <si>
    <t>Applied class_weight='balanced' in scikit-learn Random Forest; re-evaluated with stratified cross-validation splits.</t>
  </si>
  <si>
    <t>Day 24 (06-Mar)</t>
  </si>
  <si>
    <t>FastAPI ML microservice returning CORS errors when called from the Dash dashboard</t>
  </si>
  <si>
    <t>Added CORSMiddleware to ml_service/main.py with appropriate allowed origins; verified fix via browser network inspector.</t>
  </si>
  <si>
    <t>Day 25 (07-Mar)</t>
  </si>
  <si>
    <t>Telegram alert bot not firing during low-activity test periods due to threshold not being crossed</t>
  </si>
  <si>
    <t>Lowered threshold values temporarily in .env for testing; confirmed bot token and TELEGRAM_CHAT_ID were correctly set.</t>
  </si>
  <si>
    <t>Day 26 (08-Mar)</t>
  </si>
  <si>
    <t>Alert engine in alert_engine.py re-firing duplicate alerts within the cooldown window</t>
  </si>
  <si>
    <t>Fixed deduplication logic using alert hash and ALERT_COOLDOWN_MINUTES check against MongoDB alert records.</t>
  </si>
  <si>
    <t>Sprint 5</t>
  </si>
  <si>
    <t>Day 28 (10-Mar)</t>
  </si>
  <si>
    <t>Plotly choropleth map rendering slowly with large country-count datasets from MongoDB</t>
  </si>
  <si>
    <t>Moved country aggregation to the MongoDB query layer in database.py; only pre-aggregated totals sent to build_choropleth_map().</t>
  </si>
  <si>
    <t>Day 30 (12-Mar)</t>
  </si>
  <si>
    <t>Treemap and sunburst charts not reflecting MITRE ATT&amp;CK hierarchy correctly for some techniques</t>
  </si>
  <si>
    <t>Fixed parent-child label mapping in geo_charts.py; cross-referenced against MITRE ATT&amp;CK v14 dataset to validate categories.</t>
  </si>
  <si>
    <t>Day 33 (15-Mar)</t>
  </si>
  <si>
    <t>Dash callback errors triggered when multiple filter dropdowns (hours, attack type, severity) changed simultaneously</t>
  </si>
  <si>
    <t>Refactored into a single combined callback in app.py accepting all filter inputs; eliminated circular dependency warnings.</t>
  </si>
  <si>
    <t>Sprint #</t>
  </si>
  <si>
    <t>Start Date</t>
  </si>
  <si>
    <t>End Date</t>
  </si>
  <si>
    <t>Team Members</t>
  </si>
  <si>
    <t>Start Doing</t>
  </si>
  <si>
    <t>Stop Doing</t>
  </si>
  <si>
    <t>Continue Doing</t>
  </si>
  <si>
    <t>11-Feb-2026</t>
  </si>
  <si>
    <t>16-Feb-2026</t>
  </si>
  <si>
    <t>Deepika Koli, Ananya, Kaliyappan S</t>
  </si>
  <si>
    <t>Document architecture decisions and share diagrams before coding begins</t>
  </si>
  <si>
    <t>Starting implementation before finalizing environment and repo structure</t>
  </si>
  <si>
    <t>Daily planning calls and shared Notion board for task tracking</t>
  </si>
  <si>
    <t>Finalized architecture diagram, resolved Git conflicts, standardized .env setup</t>
  </si>
  <si>
    <t>17-Feb-2026</t>
  </si>
  <si>
    <t>22-Feb-2026</t>
  </si>
  <si>
    <t>Roshini Chavala, Sai Durga Prasad, Apurva</t>
  </si>
  <si>
    <t>Implement API caching and rate-limit handling from the start of each integration</t>
  </si>
  <si>
    <t>Making API calls without testing edge cases and error boundaries first</t>
  </si>
  <si>
    <t>Pair programming on backend modules and daily API integration reviews</t>
  </si>
  <si>
    <t>Added request caching, fixed JWT refresh flow, redesigned MongoDB schema with indexes</t>
  </si>
  <si>
    <t>23-Feb-2026</t>
  </si>
  <si>
    <t>01-Mar-2026</t>
  </si>
  <si>
    <t>Annas, Vibhushana Baskar, Shrusti M</t>
  </si>
  <si>
    <t>Use virtualization and lazy loading for data-heavy UI components</t>
  </si>
  <si>
    <t>Rendering full datasets without pagination during live demo testing</t>
  </si>
  <si>
    <t>Cross-team code reviews before merging frontend feature branches</t>
  </si>
  <si>
    <t>Optimized Socket.IO load handling, added chart virtualization, improved map clustering</t>
  </si>
  <si>
    <t>02-Mar-2026</t>
  </si>
  <si>
    <t>15-Mar-2026</t>
  </si>
  <si>
    <t>Mohamed Javeed, Sunez Afza, Sandhya Sagala</t>
  </si>
  <si>
    <t>Write integration tests alongside feature development, not just at the end</t>
  </si>
  <si>
    <t>Ignoring edge-case validation in scan and AI modules</t>
  </si>
  <si>
    <t>Sprint demo reviews with all team members before final release</t>
  </si>
  <si>
    <t>Fixed MITRE mapping accuracy, secured RAG pipeline, resolved all Docker env issues, passed final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</si>
</sst>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1" tint="0.49989318521683401"/>
        <bgColor rgb="FF666699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0" xfId="0" applyFill="1"/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53" zoomScaleNormal="53" workbookViewId="0">
      <selection activeCell="N10" sqref="N10"/>
    </sheetView>
  </sheetViews>
  <sheetFormatPr defaultColWidth="8.6328125" defaultRowHeight="14.5" x14ac:dyDescent="0.35"/>
  <cols>
    <col min="1" max="1" width="13.54296875" customWidth="1"/>
    <col min="2" max="2" width="13.08984375" customWidth="1"/>
    <col min="3" max="3" width="7.26953125" customWidth="1"/>
    <col min="4" max="4" width="51.1796875" customWidth="1"/>
    <col min="5" max="5" width="14" customWidth="1"/>
    <col min="6" max="6" width="27" customWidth="1"/>
    <col min="7" max="7" width="26" customWidth="1"/>
    <col min="8" max="8" width="12.453125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5" customHeight="1" x14ac:dyDescent="0.35">
      <c r="A2" s="2" t="s">
        <v>8</v>
      </c>
      <c r="B2" s="2" t="s">
        <v>8</v>
      </c>
      <c r="C2" s="2" t="s">
        <v>9</v>
      </c>
      <c r="D2" s="3" t="s">
        <v>10</v>
      </c>
      <c r="E2" s="2" t="s">
        <v>11</v>
      </c>
      <c r="F2" s="3" t="s">
        <v>12</v>
      </c>
      <c r="G2" s="3" t="s">
        <v>13</v>
      </c>
      <c r="H2" s="2" t="s">
        <v>14</v>
      </c>
    </row>
    <row r="3" spans="1:8" ht="19.5" customHeight="1" x14ac:dyDescent="0.35">
      <c r="A3" s="2" t="s">
        <v>8</v>
      </c>
      <c r="B3" s="2" t="s">
        <v>8</v>
      </c>
      <c r="C3" s="2" t="s">
        <v>15</v>
      </c>
      <c r="D3" s="3" t="s">
        <v>16</v>
      </c>
      <c r="E3" s="2" t="s">
        <v>11</v>
      </c>
      <c r="F3" s="3" t="s">
        <v>17</v>
      </c>
      <c r="G3" s="3" t="s">
        <v>18</v>
      </c>
      <c r="H3" s="2" t="s">
        <v>14</v>
      </c>
    </row>
    <row r="4" spans="1:8" ht="19.5" customHeight="1" x14ac:dyDescent="0.35">
      <c r="A4" s="2" t="s">
        <v>8</v>
      </c>
      <c r="B4" s="2" t="s">
        <v>8</v>
      </c>
      <c r="C4" s="2" t="s">
        <v>19</v>
      </c>
      <c r="D4" s="3" t="s">
        <v>20</v>
      </c>
      <c r="E4" s="2" t="s">
        <v>11</v>
      </c>
      <c r="F4" s="3" t="s">
        <v>21</v>
      </c>
      <c r="G4" s="3" t="s">
        <v>18</v>
      </c>
      <c r="H4" s="2" t="s">
        <v>14</v>
      </c>
    </row>
    <row r="5" spans="1:8" ht="19.5" customHeight="1" x14ac:dyDescent="0.35">
      <c r="A5" s="2" t="s">
        <v>8</v>
      </c>
      <c r="B5" s="2" t="s">
        <v>8</v>
      </c>
      <c r="C5" s="2" t="s">
        <v>22</v>
      </c>
      <c r="D5" s="3" t="s">
        <v>23</v>
      </c>
      <c r="E5" s="2" t="s">
        <v>11</v>
      </c>
      <c r="F5" s="3" t="s">
        <v>20</v>
      </c>
      <c r="G5" s="3" t="s">
        <v>24</v>
      </c>
      <c r="H5" s="2" t="s">
        <v>14</v>
      </c>
    </row>
    <row r="6" spans="1:8" ht="19.5" customHeight="1" x14ac:dyDescent="0.35">
      <c r="A6" s="2" t="s">
        <v>25</v>
      </c>
      <c r="B6" s="2" t="s">
        <v>25</v>
      </c>
      <c r="C6" s="2" t="s">
        <v>26</v>
      </c>
      <c r="D6" s="3" t="s">
        <v>27</v>
      </c>
      <c r="E6" s="2" t="s">
        <v>11</v>
      </c>
      <c r="F6" s="3" t="s">
        <v>28</v>
      </c>
      <c r="G6" s="3" t="s">
        <v>18</v>
      </c>
      <c r="H6" s="2" t="s">
        <v>14</v>
      </c>
    </row>
    <row r="7" spans="1:8" ht="19.5" customHeight="1" x14ac:dyDescent="0.35">
      <c r="A7" s="2" t="s">
        <v>25</v>
      </c>
      <c r="B7" s="2" t="s">
        <v>25</v>
      </c>
      <c r="C7" s="2" t="s">
        <v>29</v>
      </c>
      <c r="D7" s="3" t="s">
        <v>30</v>
      </c>
      <c r="E7" s="2" t="s">
        <v>11</v>
      </c>
      <c r="F7" s="3" t="s">
        <v>31</v>
      </c>
      <c r="G7" s="3" t="s">
        <v>18</v>
      </c>
      <c r="H7" s="2" t="s">
        <v>14</v>
      </c>
    </row>
    <row r="8" spans="1:8" ht="19.5" customHeight="1" x14ac:dyDescent="0.35">
      <c r="A8" s="2" t="s">
        <v>25</v>
      </c>
      <c r="B8" s="2" t="s">
        <v>25</v>
      </c>
      <c r="C8" s="2" t="s">
        <v>32</v>
      </c>
      <c r="D8" s="3" t="s">
        <v>33</v>
      </c>
      <c r="E8" s="2" t="s">
        <v>11</v>
      </c>
      <c r="F8" s="3" t="s">
        <v>34</v>
      </c>
      <c r="G8" s="3" t="s">
        <v>13</v>
      </c>
      <c r="H8" s="2" t="s">
        <v>14</v>
      </c>
    </row>
    <row r="9" spans="1:8" ht="19.5" customHeight="1" x14ac:dyDescent="0.35">
      <c r="A9" s="2" t="s">
        <v>35</v>
      </c>
      <c r="B9" s="2" t="s">
        <v>35</v>
      </c>
      <c r="C9" s="2" t="s">
        <v>36</v>
      </c>
      <c r="D9" s="3" t="s">
        <v>37</v>
      </c>
      <c r="E9" s="2" t="s">
        <v>11</v>
      </c>
      <c r="F9" s="3" t="s">
        <v>38</v>
      </c>
      <c r="G9" s="3" t="s">
        <v>13</v>
      </c>
      <c r="H9" s="2" t="s">
        <v>14</v>
      </c>
    </row>
    <row r="10" spans="1:8" ht="19.5" customHeight="1" x14ac:dyDescent="0.35">
      <c r="A10" s="2" t="s">
        <v>35</v>
      </c>
      <c r="B10" s="2" t="s">
        <v>35</v>
      </c>
      <c r="C10" s="2" t="s">
        <v>39</v>
      </c>
      <c r="D10" s="3" t="s">
        <v>40</v>
      </c>
      <c r="E10" s="2" t="s">
        <v>11</v>
      </c>
      <c r="F10" s="3" t="s">
        <v>41</v>
      </c>
      <c r="G10" s="3" t="s">
        <v>13</v>
      </c>
      <c r="H10" s="2" t="s">
        <v>14</v>
      </c>
    </row>
    <row r="11" spans="1:8" ht="19.5" customHeight="1" x14ac:dyDescent="0.35">
      <c r="A11" s="2" t="s">
        <v>35</v>
      </c>
      <c r="B11" s="2" t="s">
        <v>35</v>
      </c>
      <c r="C11" s="2" t="s">
        <v>42</v>
      </c>
      <c r="D11" s="3" t="s">
        <v>43</v>
      </c>
      <c r="E11" s="2" t="s">
        <v>11</v>
      </c>
      <c r="F11" s="3" t="s">
        <v>31</v>
      </c>
      <c r="G11" s="3" t="s">
        <v>13</v>
      </c>
      <c r="H11" s="2" t="s">
        <v>14</v>
      </c>
    </row>
    <row r="12" spans="1:8" ht="19.5" customHeight="1" x14ac:dyDescent="0.35">
      <c r="A12" s="2" t="s">
        <v>35</v>
      </c>
      <c r="B12" s="2" t="s">
        <v>35</v>
      </c>
      <c r="C12" s="2" t="s">
        <v>44</v>
      </c>
      <c r="D12" s="3" t="s">
        <v>45</v>
      </c>
      <c r="E12" s="2" t="s">
        <v>11</v>
      </c>
      <c r="F12" s="3" t="s">
        <v>46</v>
      </c>
      <c r="G12" s="3" t="s">
        <v>13</v>
      </c>
      <c r="H12" s="2" t="s">
        <v>14</v>
      </c>
    </row>
    <row r="13" spans="1:8" ht="19.5" customHeight="1" x14ac:dyDescent="0.35">
      <c r="A13" s="2" t="s">
        <v>35</v>
      </c>
      <c r="B13" s="2" t="s">
        <v>35</v>
      </c>
      <c r="C13" s="2" t="s">
        <v>47</v>
      </c>
      <c r="D13" s="3" t="s">
        <v>48</v>
      </c>
      <c r="E13" s="2" t="s">
        <v>11</v>
      </c>
      <c r="F13" s="3" t="s">
        <v>49</v>
      </c>
      <c r="G13" s="3" t="s">
        <v>18</v>
      </c>
      <c r="H13" s="2" t="s">
        <v>14</v>
      </c>
    </row>
    <row r="14" spans="1:8" ht="19.5" customHeight="1" x14ac:dyDescent="0.35">
      <c r="A14" s="2" t="s">
        <v>50</v>
      </c>
      <c r="B14" s="2" t="s">
        <v>50</v>
      </c>
      <c r="C14" s="2" t="s">
        <v>51</v>
      </c>
      <c r="D14" s="3" t="s">
        <v>52</v>
      </c>
      <c r="E14" s="2" t="s">
        <v>11</v>
      </c>
      <c r="F14" s="3" t="s">
        <v>53</v>
      </c>
      <c r="G14" s="3" t="s">
        <v>18</v>
      </c>
      <c r="H14" s="2" t="s">
        <v>14</v>
      </c>
    </row>
    <row r="15" spans="1:8" ht="19.5" customHeight="1" x14ac:dyDescent="0.35">
      <c r="A15" s="2" t="s">
        <v>50</v>
      </c>
      <c r="B15" s="2" t="s">
        <v>50</v>
      </c>
      <c r="C15" s="2" t="s">
        <v>54</v>
      </c>
      <c r="D15" s="3" t="s">
        <v>55</v>
      </c>
      <c r="E15" s="2" t="s">
        <v>11</v>
      </c>
      <c r="F15" s="3" t="s">
        <v>56</v>
      </c>
      <c r="G15" s="3" t="s">
        <v>57</v>
      </c>
      <c r="H15" s="2" t="s">
        <v>14</v>
      </c>
    </row>
    <row r="16" spans="1:8" ht="19.5" customHeight="1" x14ac:dyDescent="0.35">
      <c r="A16" s="2" t="s">
        <v>50</v>
      </c>
      <c r="B16" s="2" t="s">
        <v>50</v>
      </c>
      <c r="C16" s="2" t="s">
        <v>58</v>
      </c>
      <c r="D16" s="3" t="s">
        <v>59</v>
      </c>
      <c r="E16" s="2" t="s">
        <v>11</v>
      </c>
      <c r="F16" s="3" t="s">
        <v>60</v>
      </c>
      <c r="G16" s="3" t="s">
        <v>57</v>
      </c>
      <c r="H16" s="2" t="s">
        <v>14</v>
      </c>
    </row>
    <row r="17" spans="1:8" ht="19.5" customHeight="1" x14ac:dyDescent="0.35">
      <c r="A17" s="2" t="s">
        <v>50</v>
      </c>
      <c r="B17" s="2" t="s">
        <v>50</v>
      </c>
      <c r="C17" s="2" t="s">
        <v>61</v>
      </c>
      <c r="D17" s="3" t="s">
        <v>62</v>
      </c>
      <c r="E17" s="2" t="s">
        <v>11</v>
      </c>
      <c r="F17" s="3" t="s">
        <v>63</v>
      </c>
      <c r="G17" s="3" t="s">
        <v>24</v>
      </c>
      <c r="H17" s="2" t="s">
        <v>14</v>
      </c>
    </row>
    <row r="18" spans="1:8" ht="19.5" customHeight="1" x14ac:dyDescent="0.35">
      <c r="A18" s="2" t="s">
        <v>64</v>
      </c>
      <c r="B18" s="2" t="s">
        <v>64</v>
      </c>
      <c r="C18" s="2" t="s">
        <v>65</v>
      </c>
      <c r="D18" s="3" t="s">
        <v>66</v>
      </c>
      <c r="E18" s="2" t="s">
        <v>11</v>
      </c>
      <c r="F18" s="3" t="s">
        <v>67</v>
      </c>
      <c r="G18" s="3" t="s">
        <v>57</v>
      </c>
      <c r="H18" s="2" t="s">
        <v>14</v>
      </c>
    </row>
    <row r="19" spans="1:8" ht="19.5" customHeight="1" x14ac:dyDescent="0.35">
      <c r="A19" s="2" t="s">
        <v>64</v>
      </c>
      <c r="B19" s="2" t="s">
        <v>64</v>
      </c>
      <c r="C19" s="2" t="s">
        <v>68</v>
      </c>
      <c r="D19" s="3" t="s">
        <v>69</v>
      </c>
      <c r="E19" s="2" t="s">
        <v>11</v>
      </c>
      <c r="F19" s="3" t="s">
        <v>70</v>
      </c>
      <c r="G19" s="3" t="s">
        <v>57</v>
      </c>
      <c r="H19" s="2" t="s">
        <v>14</v>
      </c>
    </row>
    <row r="20" spans="1:8" ht="19.5" customHeight="1" x14ac:dyDescent="0.35">
      <c r="A20" s="2" t="s">
        <v>64</v>
      </c>
      <c r="B20" s="2" t="s">
        <v>64</v>
      </c>
      <c r="C20" s="2" t="s">
        <v>71</v>
      </c>
      <c r="D20" s="3" t="s">
        <v>72</v>
      </c>
      <c r="E20" s="2" t="s">
        <v>11</v>
      </c>
      <c r="F20" s="3" t="s">
        <v>73</v>
      </c>
      <c r="G20" s="3" t="s">
        <v>57</v>
      </c>
      <c r="H20" s="2" t="s">
        <v>14</v>
      </c>
    </row>
    <row r="21" spans="1:8" ht="19.5" customHeight="1" x14ac:dyDescent="0.35">
      <c r="A21" s="2" t="s">
        <v>64</v>
      </c>
      <c r="B21" s="2" t="s">
        <v>64</v>
      </c>
      <c r="C21" s="2" t="s">
        <v>74</v>
      </c>
      <c r="D21" s="3" t="s">
        <v>75</v>
      </c>
      <c r="E21" s="2" t="s">
        <v>11</v>
      </c>
      <c r="F21" s="3" t="s">
        <v>76</v>
      </c>
      <c r="G21" s="3" t="s">
        <v>57</v>
      </c>
      <c r="H21" s="2" t="s">
        <v>14</v>
      </c>
    </row>
    <row r="22" spans="1:8" ht="19.5" customHeight="1" x14ac:dyDescent="0.35">
      <c r="A22" s="2" t="s">
        <v>64</v>
      </c>
      <c r="B22" s="2" t="s">
        <v>64</v>
      </c>
      <c r="C22" s="2" t="s">
        <v>77</v>
      </c>
      <c r="D22" s="3" t="s">
        <v>78</v>
      </c>
      <c r="E22" s="2" t="s">
        <v>11</v>
      </c>
      <c r="F22" s="3" t="s">
        <v>79</v>
      </c>
      <c r="G22" s="3" t="s">
        <v>24</v>
      </c>
      <c r="H22" s="2" t="s">
        <v>14</v>
      </c>
    </row>
    <row r="23" spans="1:8" ht="19.5" customHeight="1" x14ac:dyDescent="0.35">
      <c r="A23" s="2" t="s">
        <v>64</v>
      </c>
      <c r="B23" s="2" t="s">
        <v>64</v>
      </c>
      <c r="C23" s="2" t="s">
        <v>80</v>
      </c>
      <c r="D23" s="3" t="s">
        <v>81</v>
      </c>
      <c r="E23" s="2" t="s">
        <v>11</v>
      </c>
      <c r="F23" s="3" t="s">
        <v>79</v>
      </c>
      <c r="G23" s="3" t="s">
        <v>24</v>
      </c>
      <c r="H23" s="2" t="s">
        <v>14</v>
      </c>
    </row>
    <row r="24" spans="1:8" ht="19.5" customHeight="1" x14ac:dyDescent="0.35">
      <c r="A24" s="2" t="s">
        <v>64</v>
      </c>
      <c r="B24" s="2" t="s">
        <v>64</v>
      </c>
      <c r="C24" s="2" t="s">
        <v>82</v>
      </c>
      <c r="D24" s="3" t="s">
        <v>83</v>
      </c>
      <c r="E24" s="2" t="s">
        <v>11</v>
      </c>
      <c r="F24" s="3" t="s">
        <v>53</v>
      </c>
      <c r="G24" s="3" t="s">
        <v>13</v>
      </c>
      <c r="H24" s="2" t="s">
        <v>14</v>
      </c>
    </row>
    <row r="25" spans="1:8" ht="19.5" customHeight="1" x14ac:dyDescent="0.35">
      <c r="A25" s="2" t="s">
        <v>64</v>
      </c>
      <c r="B25" s="2" t="s">
        <v>64</v>
      </c>
      <c r="C25" s="2" t="s">
        <v>84</v>
      </c>
      <c r="D25" s="3" t="s">
        <v>85</v>
      </c>
      <c r="E25" s="2" t="s">
        <v>11</v>
      </c>
      <c r="F25" s="3" t="s">
        <v>86</v>
      </c>
      <c r="G25" s="3" t="s">
        <v>24</v>
      </c>
      <c r="H25" s="2" t="s">
        <v>14</v>
      </c>
    </row>
    <row r="26" spans="1:8" ht="19.5" customHeight="1" x14ac:dyDescent="0.35">
      <c r="A26" s="2" t="s">
        <v>64</v>
      </c>
      <c r="B26" s="2" t="s">
        <v>64</v>
      </c>
      <c r="C26" s="2" t="s">
        <v>87</v>
      </c>
      <c r="D26" s="3" t="s">
        <v>88</v>
      </c>
      <c r="E26" s="2" t="s">
        <v>89</v>
      </c>
      <c r="F26" s="3" t="s">
        <v>90</v>
      </c>
      <c r="G26" s="3" t="s">
        <v>57</v>
      </c>
      <c r="H26" s="2" t="s">
        <v>14</v>
      </c>
    </row>
    <row r="27" spans="1:8" ht="19.5" customHeight="1" x14ac:dyDescent="0.35">
      <c r="A27" s="2" t="s">
        <v>64</v>
      </c>
      <c r="B27" s="2" t="s">
        <v>64</v>
      </c>
      <c r="C27" s="2" t="s">
        <v>91</v>
      </c>
      <c r="D27" s="3" t="s">
        <v>92</v>
      </c>
      <c r="E27" s="2" t="s">
        <v>11</v>
      </c>
      <c r="F27" s="3" t="s">
        <v>93</v>
      </c>
      <c r="G27" s="3" t="s">
        <v>24</v>
      </c>
      <c r="H27" s="2" t="s">
        <v>14</v>
      </c>
    </row>
    <row r="28" spans="1:8" ht="19.5" customHeight="1" x14ac:dyDescent="0.35">
      <c r="A28" s="2" t="s">
        <v>64</v>
      </c>
      <c r="B28" s="2" t="s">
        <v>64</v>
      </c>
      <c r="C28" s="2" t="s">
        <v>94</v>
      </c>
      <c r="D28" s="3" t="s">
        <v>95</v>
      </c>
      <c r="E28" s="2" t="s">
        <v>11</v>
      </c>
      <c r="F28" s="3" t="s">
        <v>96</v>
      </c>
      <c r="G28" s="3" t="s">
        <v>24</v>
      </c>
      <c r="H28" s="2" t="s">
        <v>14</v>
      </c>
    </row>
    <row r="29" spans="1:8" ht="19.5" customHeight="1" x14ac:dyDescent="0.35">
      <c r="A29" s="2" t="s">
        <v>64</v>
      </c>
      <c r="B29" s="2" t="s">
        <v>64</v>
      </c>
      <c r="C29" s="2" t="s">
        <v>97</v>
      </c>
      <c r="D29" s="3" t="s">
        <v>98</v>
      </c>
      <c r="E29" s="2" t="s">
        <v>11</v>
      </c>
      <c r="F29" s="3" t="s">
        <v>99</v>
      </c>
      <c r="G29" s="3" t="s">
        <v>57</v>
      </c>
      <c r="H29" s="2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6"/>
  <sheetViews>
    <sheetView topLeftCell="A2" zoomScale="67" zoomScaleNormal="67" workbookViewId="0">
      <selection activeCell="F71" sqref="F71"/>
    </sheetView>
  </sheetViews>
  <sheetFormatPr defaultColWidth="8.6328125" defaultRowHeight="14.5" x14ac:dyDescent="0.35"/>
  <cols>
    <col min="1" max="2" width="6.6328125" customWidth="1"/>
    <col min="3" max="3" width="48" customWidth="1"/>
    <col min="4" max="4" width="13" customWidth="1"/>
    <col min="5" max="5" width="14" customWidth="1"/>
    <col min="6" max="6" width="12.26953125" customWidth="1"/>
    <col min="7" max="7" width="12.453125" customWidth="1"/>
    <col min="8" max="8" width="11.453125" customWidth="1"/>
    <col min="9" max="9" width="14.54296875" customWidth="1"/>
    <col min="10" max="42" width="3.90625" customWidth="1"/>
  </cols>
  <sheetData>
    <row r="1" spans="1:42" ht="19.5" customHeight="1" x14ac:dyDescent="0.35">
      <c r="A1" s="4"/>
      <c r="B1" s="4"/>
      <c r="C1" s="4"/>
      <c r="D1" s="4"/>
      <c r="E1" s="4"/>
      <c r="F1" s="4"/>
      <c r="G1" s="4"/>
      <c r="H1" s="4"/>
      <c r="I1" s="5">
        <f t="shared" ref="I1:AP1" si="0">SUM(I3:I500)</f>
        <v>217</v>
      </c>
      <c r="J1" s="5">
        <f t="shared" si="0"/>
        <v>6</v>
      </c>
      <c r="K1" s="5">
        <f t="shared" si="0"/>
        <v>8</v>
      </c>
      <c r="L1" s="5">
        <f t="shared" si="0"/>
        <v>7</v>
      </c>
      <c r="M1" s="5">
        <f t="shared" si="0"/>
        <v>5</v>
      </c>
      <c r="N1" s="5">
        <f t="shared" si="0"/>
        <v>5</v>
      </c>
      <c r="O1" s="5">
        <f t="shared" si="0"/>
        <v>1</v>
      </c>
      <c r="P1" s="5">
        <f t="shared" si="0"/>
        <v>6</v>
      </c>
      <c r="Q1" s="5">
        <f t="shared" si="0"/>
        <v>9</v>
      </c>
      <c r="R1" s="5">
        <f t="shared" si="0"/>
        <v>9</v>
      </c>
      <c r="S1" s="5">
        <f t="shared" si="0"/>
        <v>5</v>
      </c>
      <c r="T1" s="5">
        <f t="shared" si="0"/>
        <v>2</v>
      </c>
      <c r="U1" s="5">
        <f t="shared" si="0"/>
        <v>0</v>
      </c>
      <c r="V1" s="5">
        <f t="shared" si="0"/>
        <v>10</v>
      </c>
      <c r="W1" s="5">
        <f t="shared" si="0"/>
        <v>12</v>
      </c>
      <c r="X1" s="5">
        <f t="shared" si="0"/>
        <v>11</v>
      </c>
      <c r="Y1" s="5">
        <f t="shared" si="0"/>
        <v>7</v>
      </c>
      <c r="Z1" s="5">
        <f t="shared" si="0"/>
        <v>4</v>
      </c>
      <c r="AA1" s="5">
        <f t="shared" si="0"/>
        <v>1</v>
      </c>
      <c r="AB1" s="5">
        <f t="shared" si="0"/>
        <v>0</v>
      </c>
      <c r="AC1" s="5">
        <f t="shared" si="0"/>
        <v>5</v>
      </c>
      <c r="AD1" s="5">
        <f t="shared" si="0"/>
        <v>11</v>
      </c>
      <c r="AE1" s="5">
        <f t="shared" si="0"/>
        <v>12</v>
      </c>
      <c r="AF1" s="5">
        <f t="shared" si="0"/>
        <v>10</v>
      </c>
      <c r="AG1" s="5">
        <f t="shared" si="0"/>
        <v>6</v>
      </c>
      <c r="AH1" s="5">
        <f t="shared" si="0"/>
        <v>3</v>
      </c>
      <c r="AI1" s="5">
        <f t="shared" si="0"/>
        <v>0</v>
      </c>
      <c r="AJ1" s="5">
        <f t="shared" si="0"/>
        <v>10</v>
      </c>
      <c r="AK1" s="5">
        <f t="shared" si="0"/>
        <v>17</v>
      </c>
      <c r="AL1" s="5">
        <f t="shared" si="0"/>
        <v>20</v>
      </c>
      <c r="AM1" s="5">
        <f t="shared" si="0"/>
        <v>19</v>
      </c>
      <c r="AN1" s="5">
        <f t="shared" si="0"/>
        <v>20</v>
      </c>
      <c r="AO1" s="5">
        <f t="shared" si="0"/>
        <v>21</v>
      </c>
      <c r="AP1" s="5">
        <f t="shared" si="0"/>
        <v>18</v>
      </c>
    </row>
    <row r="2" spans="1:42" ht="30" customHeight="1" x14ac:dyDescent="0.35">
      <c r="A2" s="6" t="s">
        <v>2</v>
      </c>
      <c r="B2" s="6" t="s">
        <v>100</v>
      </c>
      <c r="C2" s="6" t="s">
        <v>101</v>
      </c>
      <c r="D2" s="6" t="s">
        <v>102</v>
      </c>
      <c r="E2" s="6" t="s">
        <v>103</v>
      </c>
      <c r="F2" s="6" t="s">
        <v>104</v>
      </c>
      <c r="G2" s="6" t="s">
        <v>105</v>
      </c>
      <c r="H2" s="6" t="s">
        <v>7</v>
      </c>
      <c r="I2" s="6" t="s">
        <v>106</v>
      </c>
      <c r="J2" s="6" t="s">
        <v>107</v>
      </c>
      <c r="K2" s="6" t="s">
        <v>108</v>
      </c>
      <c r="L2" s="6" t="s">
        <v>109</v>
      </c>
      <c r="M2" s="6" t="s">
        <v>110</v>
      </c>
      <c r="N2" s="6" t="s">
        <v>111</v>
      </c>
      <c r="O2" s="6" t="s">
        <v>112</v>
      </c>
      <c r="P2" s="6" t="s">
        <v>113</v>
      </c>
      <c r="Q2" s="6" t="s">
        <v>114</v>
      </c>
      <c r="R2" s="6" t="s">
        <v>115</v>
      </c>
      <c r="S2" s="6" t="s">
        <v>116</v>
      </c>
      <c r="T2" s="6" t="s">
        <v>117</v>
      </c>
      <c r="U2" s="6" t="s">
        <v>118</v>
      </c>
      <c r="V2" s="6" t="s">
        <v>119</v>
      </c>
      <c r="W2" s="6" t="s">
        <v>120</v>
      </c>
      <c r="X2" s="6" t="s">
        <v>121</v>
      </c>
      <c r="Y2" s="6" t="s">
        <v>122</v>
      </c>
      <c r="Z2" s="6" t="s">
        <v>123</v>
      </c>
      <c r="AA2" s="6" t="s">
        <v>124</v>
      </c>
      <c r="AB2" s="6" t="s">
        <v>125</v>
      </c>
      <c r="AC2" s="6" t="s">
        <v>126</v>
      </c>
      <c r="AD2" s="6" t="s">
        <v>127</v>
      </c>
      <c r="AE2" s="6" t="s">
        <v>128</v>
      </c>
      <c r="AF2" s="6" t="s">
        <v>129</v>
      </c>
      <c r="AG2" s="6" t="s">
        <v>130</v>
      </c>
      <c r="AH2" s="6" t="s">
        <v>131</v>
      </c>
      <c r="AI2" s="6" t="s">
        <v>132</v>
      </c>
      <c r="AJ2" s="6" t="s">
        <v>133</v>
      </c>
      <c r="AK2" s="6" t="s">
        <v>134</v>
      </c>
      <c r="AL2" s="6" t="s">
        <v>135</v>
      </c>
      <c r="AM2" s="6" t="s">
        <v>136</v>
      </c>
      <c r="AN2" s="6" t="s">
        <v>137</v>
      </c>
      <c r="AO2" s="6" t="s">
        <v>138</v>
      </c>
      <c r="AP2" s="6" t="s">
        <v>139</v>
      </c>
    </row>
    <row r="3" spans="1:42" ht="18" customHeight="1" x14ac:dyDescent="0.35">
      <c r="A3" s="7" t="s">
        <v>9</v>
      </c>
      <c r="B3" s="7" t="s">
        <v>140</v>
      </c>
      <c r="C3" s="8" t="s">
        <v>141</v>
      </c>
      <c r="D3" s="7" t="s">
        <v>142</v>
      </c>
      <c r="E3" s="7" t="s">
        <v>143</v>
      </c>
      <c r="F3" s="8" t="s">
        <v>144</v>
      </c>
      <c r="G3" s="7" t="s">
        <v>145</v>
      </c>
      <c r="H3" s="7" t="s">
        <v>14</v>
      </c>
      <c r="I3" s="7">
        <v>3</v>
      </c>
      <c r="J3" s="7">
        <v>3</v>
      </c>
      <c r="K3" s="7">
        <v>2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</row>
    <row r="4" spans="1:42" ht="18" customHeight="1" x14ac:dyDescent="0.35">
      <c r="A4" s="7" t="s">
        <v>9</v>
      </c>
      <c r="B4" s="7" t="s">
        <v>146</v>
      </c>
      <c r="C4" s="8" t="s">
        <v>147</v>
      </c>
      <c r="D4" s="7" t="s">
        <v>142</v>
      </c>
      <c r="E4" s="7" t="s">
        <v>143</v>
      </c>
      <c r="F4" s="8" t="s">
        <v>148</v>
      </c>
      <c r="G4" s="7" t="s">
        <v>145</v>
      </c>
      <c r="H4" s="7" t="s">
        <v>14</v>
      </c>
      <c r="I4" s="7">
        <v>3</v>
      </c>
      <c r="J4" s="7">
        <v>3</v>
      </c>
      <c r="K4" s="7">
        <v>2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</row>
    <row r="5" spans="1:42" ht="18" customHeight="1" x14ac:dyDescent="0.35">
      <c r="A5" s="7" t="s">
        <v>9</v>
      </c>
      <c r="B5" s="7" t="s">
        <v>149</v>
      </c>
      <c r="C5" s="8" t="s">
        <v>150</v>
      </c>
      <c r="D5" s="7" t="s">
        <v>143</v>
      </c>
      <c r="E5" s="7" t="s">
        <v>143</v>
      </c>
      <c r="F5" s="8" t="s">
        <v>151</v>
      </c>
      <c r="G5" s="7" t="s">
        <v>145</v>
      </c>
      <c r="H5" s="7" t="s">
        <v>14</v>
      </c>
      <c r="I5" s="7">
        <v>2</v>
      </c>
      <c r="J5" s="7">
        <v>0</v>
      </c>
      <c r="K5" s="7">
        <v>2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</row>
    <row r="6" spans="1:42" ht="18" customHeight="1" x14ac:dyDescent="0.35">
      <c r="A6" s="7" t="s">
        <v>15</v>
      </c>
      <c r="B6" s="7" t="s">
        <v>152</v>
      </c>
      <c r="C6" s="8" t="s">
        <v>153</v>
      </c>
      <c r="D6" s="7" t="s">
        <v>143</v>
      </c>
      <c r="E6" s="7" t="s">
        <v>154</v>
      </c>
      <c r="F6" s="8" t="s">
        <v>155</v>
      </c>
      <c r="G6" s="7" t="s">
        <v>145</v>
      </c>
      <c r="H6" s="7" t="s">
        <v>14</v>
      </c>
      <c r="I6" s="7">
        <v>2</v>
      </c>
      <c r="J6" s="7">
        <v>0</v>
      </c>
      <c r="K6" s="7">
        <v>2</v>
      </c>
      <c r="L6" s="7">
        <v>1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</row>
    <row r="7" spans="1:42" ht="18" customHeight="1" x14ac:dyDescent="0.35">
      <c r="A7" s="7" t="s">
        <v>15</v>
      </c>
      <c r="B7" s="7" t="s">
        <v>156</v>
      </c>
      <c r="C7" s="8" t="s">
        <v>157</v>
      </c>
      <c r="D7" s="7" t="s">
        <v>154</v>
      </c>
      <c r="E7" s="7" t="s">
        <v>154</v>
      </c>
      <c r="F7" s="8" t="s">
        <v>158</v>
      </c>
      <c r="G7" s="7" t="s">
        <v>145</v>
      </c>
      <c r="H7" s="7" t="s">
        <v>14</v>
      </c>
      <c r="I7" s="7">
        <v>1</v>
      </c>
      <c r="J7" s="7">
        <v>0</v>
      </c>
      <c r="K7" s="7">
        <v>0</v>
      </c>
      <c r="L7" s="7">
        <v>1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</row>
    <row r="8" spans="1:42" ht="18" customHeight="1" x14ac:dyDescent="0.35">
      <c r="A8" s="7" t="s">
        <v>19</v>
      </c>
      <c r="B8" s="7" t="s">
        <v>159</v>
      </c>
      <c r="C8" s="8" t="s">
        <v>160</v>
      </c>
      <c r="D8" s="7" t="s">
        <v>154</v>
      </c>
      <c r="E8" s="7" t="s">
        <v>161</v>
      </c>
      <c r="F8" s="8" t="s">
        <v>155</v>
      </c>
      <c r="G8" s="7" t="s">
        <v>145</v>
      </c>
      <c r="H8" s="7" t="s">
        <v>14</v>
      </c>
      <c r="I8" s="7">
        <v>3</v>
      </c>
      <c r="J8" s="7">
        <v>0</v>
      </c>
      <c r="K8" s="7">
        <v>0</v>
      </c>
      <c r="L8" s="7">
        <v>3</v>
      </c>
      <c r="M8" s="7">
        <v>2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</row>
    <row r="9" spans="1:42" ht="18" customHeight="1" x14ac:dyDescent="0.35">
      <c r="A9" s="7" t="s">
        <v>19</v>
      </c>
      <c r="B9" s="7" t="s">
        <v>162</v>
      </c>
      <c r="C9" s="8" t="s">
        <v>163</v>
      </c>
      <c r="D9" s="7" t="s">
        <v>154</v>
      </c>
      <c r="E9" s="7" t="s">
        <v>161</v>
      </c>
      <c r="F9" s="8" t="s">
        <v>164</v>
      </c>
      <c r="G9" s="7" t="s">
        <v>145</v>
      </c>
      <c r="H9" s="7" t="s">
        <v>14</v>
      </c>
      <c r="I9" s="7">
        <v>2</v>
      </c>
      <c r="J9" s="7">
        <v>0</v>
      </c>
      <c r="K9" s="7">
        <v>0</v>
      </c>
      <c r="L9" s="7">
        <v>2</v>
      </c>
      <c r="M9" s="7">
        <v>1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</row>
    <row r="10" spans="1:42" ht="18" customHeight="1" x14ac:dyDescent="0.35">
      <c r="A10" s="7" t="s">
        <v>22</v>
      </c>
      <c r="B10" s="7" t="s">
        <v>165</v>
      </c>
      <c r="C10" s="8" t="s">
        <v>166</v>
      </c>
      <c r="D10" s="7" t="s">
        <v>161</v>
      </c>
      <c r="E10" s="7" t="s">
        <v>167</v>
      </c>
      <c r="F10" s="8" t="s">
        <v>168</v>
      </c>
      <c r="G10" s="7" t="s">
        <v>169</v>
      </c>
      <c r="H10" s="7" t="s">
        <v>14</v>
      </c>
      <c r="I10" s="7">
        <v>2</v>
      </c>
      <c r="J10" s="7">
        <v>0</v>
      </c>
      <c r="K10" s="7">
        <v>0</v>
      </c>
      <c r="L10" s="7">
        <v>0</v>
      </c>
      <c r="M10" s="7">
        <v>2</v>
      </c>
      <c r="N10" s="7">
        <v>1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</row>
    <row r="11" spans="1:42" ht="18" customHeight="1" x14ac:dyDescent="0.35">
      <c r="A11" s="7" t="s">
        <v>22</v>
      </c>
      <c r="B11" s="7" t="s">
        <v>170</v>
      </c>
      <c r="C11" s="8" t="s">
        <v>171</v>
      </c>
      <c r="D11" s="7" t="s">
        <v>167</v>
      </c>
      <c r="E11" s="7" t="s">
        <v>167</v>
      </c>
      <c r="F11" s="8" t="s">
        <v>172</v>
      </c>
      <c r="G11" s="7" t="s">
        <v>169</v>
      </c>
      <c r="H11" s="7" t="s">
        <v>14</v>
      </c>
      <c r="I11" s="7">
        <v>2</v>
      </c>
      <c r="J11" s="7">
        <v>0</v>
      </c>
      <c r="K11" s="7">
        <v>0</v>
      </c>
      <c r="L11" s="7">
        <v>0</v>
      </c>
      <c r="M11" s="7">
        <v>0</v>
      </c>
      <c r="N11" s="7">
        <v>2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</row>
    <row r="12" spans="1:42" ht="18" customHeight="1" x14ac:dyDescent="0.35">
      <c r="A12" s="7" t="s">
        <v>22</v>
      </c>
      <c r="B12" s="7" t="s">
        <v>173</v>
      </c>
      <c r="C12" s="8" t="s">
        <v>174</v>
      </c>
      <c r="D12" s="7" t="s">
        <v>167</v>
      </c>
      <c r="E12" s="7" t="s">
        <v>175</v>
      </c>
      <c r="F12" s="8" t="s">
        <v>176</v>
      </c>
      <c r="G12" s="7" t="s">
        <v>169</v>
      </c>
      <c r="H12" s="7" t="s">
        <v>14</v>
      </c>
      <c r="I12" s="7">
        <v>2</v>
      </c>
      <c r="J12" s="7">
        <v>0</v>
      </c>
      <c r="K12" s="7">
        <v>0</v>
      </c>
      <c r="L12" s="7">
        <v>0</v>
      </c>
      <c r="M12" s="7">
        <v>0</v>
      </c>
      <c r="N12" s="7">
        <v>2</v>
      </c>
      <c r="O12" s="7">
        <v>1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</row>
    <row r="13" spans="1:42" ht="18" customHeight="1" x14ac:dyDescent="0.35">
      <c r="A13" s="7" t="s">
        <v>26</v>
      </c>
      <c r="B13" s="7" t="s">
        <v>177</v>
      </c>
      <c r="C13" s="8" t="s">
        <v>178</v>
      </c>
      <c r="D13" s="7" t="s">
        <v>179</v>
      </c>
      <c r="E13" s="7" t="s">
        <v>179</v>
      </c>
      <c r="F13" s="8" t="s">
        <v>158</v>
      </c>
      <c r="G13" s="7" t="s">
        <v>169</v>
      </c>
      <c r="H13" s="7" t="s">
        <v>14</v>
      </c>
      <c r="I13" s="7">
        <v>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3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</row>
    <row r="14" spans="1:42" ht="18" customHeight="1" x14ac:dyDescent="0.35">
      <c r="A14" s="7" t="s">
        <v>26</v>
      </c>
      <c r="B14" s="7" t="s">
        <v>180</v>
      </c>
      <c r="C14" s="8" t="s">
        <v>181</v>
      </c>
      <c r="D14" s="7" t="s">
        <v>179</v>
      </c>
      <c r="E14" s="7" t="s">
        <v>182</v>
      </c>
      <c r="F14" s="8" t="s">
        <v>155</v>
      </c>
      <c r="G14" s="7" t="s">
        <v>169</v>
      </c>
      <c r="H14" s="7" t="s">
        <v>14</v>
      </c>
      <c r="I14" s="7">
        <v>3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3</v>
      </c>
      <c r="Q14" s="7">
        <v>2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</row>
    <row r="15" spans="1:42" ht="18" customHeight="1" x14ac:dyDescent="0.35">
      <c r="A15" s="7" t="s">
        <v>29</v>
      </c>
      <c r="B15" s="7" t="s">
        <v>183</v>
      </c>
      <c r="C15" s="8" t="s">
        <v>184</v>
      </c>
      <c r="D15" s="7" t="s">
        <v>182</v>
      </c>
      <c r="E15" s="7" t="s">
        <v>182</v>
      </c>
      <c r="F15" s="8" t="s">
        <v>164</v>
      </c>
      <c r="G15" s="7" t="s">
        <v>169</v>
      </c>
      <c r="H15" s="7" t="s">
        <v>14</v>
      </c>
      <c r="I15" s="7">
        <v>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3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</row>
    <row r="16" spans="1:42" ht="18" customHeight="1" x14ac:dyDescent="0.35">
      <c r="A16" s="7" t="s">
        <v>29</v>
      </c>
      <c r="B16" s="7" t="s">
        <v>185</v>
      </c>
      <c r="C16" s="8" t="s">
        <v>186</v>
      </c>
      <c r="D16" s="7" t="s">
        <v>182</v>
      </c>
      <c r="E16" s="7" t="s">
        <v>187</v>
      </c>
      <c r="F16" s="8" t="s">
        <v>155</v>
      </c>
      <c r="G16" s="7" t="s">
        <v>169</v>
      </c>
      <c r="H16" s="7" t="s">
        <v>14</v>
      </c>
      <c r="I16" s="7">
        <v>4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4</v>
      </c>
      <c r="R16" s="7">
        <v>2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</row>
    <row r="17" spans="1:42" ht="18" customHeight="1" x14ac:dyDescent="0.35">
      <c r="A17" s="7" t="s">
        <v>29</v>
      </c>
      <c r="B17" s="7" t="s">
        <v>188</v>
      </c>
      <c r="C17" s="8" t="s">
        <v>189</v>
      </c>
      <c r="D17" s="7" t="s">
        <v>187</v>
      </c>
      <c r="E17" s="7" t="s">
        <v>187</v>
      </c>
      <c r="F17" s="8" t="s">
        <v>164</v>
      </c>
      <c r="G17" s="7" t="s">
        <v>169</v>
      </c>
      <c r="H17" s="7" t="s">
        <v>14</v>
      </c>
      <c r="I17" s="7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2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</row>
    <row r="18" spans="1:42" ht="18" customHeight="1" x14ac:dyDescent="0.35">
      <c r="A18" s="7" t="s">
        <v>32</v>
      </c>
      <c r="B18" s="7" t="s">
        <v>190</v>
      </c>
      <c r="C18" s="8" t="s">
        <v>191</v>
      </c>
      <c r="D18" s="7" t="s">
        <v>187</v>
      </c>
      <c r="E18" s="7" t="s">
        <v>192</v>
      </c>
      <c r="F18" s="8" t="s">
        <v>151</v>
      </c>
      <c r="G18" s="7" t="s">
        <v>193</v>
      </c>
      <c r="H18" s="7" t="s">
        <v>14</v>
      </c>
      <c r="I18" s="7">
        <v>5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5</v>
      </c>
      <c r="S18" s="7">
        <v>2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</row>
    <row r="19" spans="1:42" ht="18" customHeight="1" x14ac:dyDescent="0.35">
      <c r="A19" s="7" t="s">
        <v>32</v>
      </c>
      <c r="B19" s="7" t="s">
        <v>194</v>
      </c>
      <c r="C19" s="8" t="s">
        <v>195</v>
      </c>
      <c r="D19" s="7" t="s">
        <v>192</v>
      </c>
      <c r="E19" s="7" t="s">
        <v>196</v>
      </c>
      <c r="F19" s="8" t="s">
        <v>144</v>
      </c>
      <c r="G19" s="7" t="s">
        <v>193</v>
      </c>
      <c r="H19" s="7" t="s">
        <v>14</v>
      </c>
      <c r="I19" s="7">
        <v>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3</v>
      </c>
      <c r="T19" s="7">
        <v>2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</row>
    <row r="20" spans="1:42" ht="18" customHeight="1" x14ac:dyDescent="0.35">
      <c r="A20" s="7" t="s">
        <v>36</v>
      </c>
      <c r="B20" s="7" t="s">
        <v>197</v>
      </c>
      <c r="C20" s="8" t="s">
        <v>198</v>
      </c>
      <c r="D20" s="7" t="s">
        <v>199</v>
      </c>
      <c r="E20" s="7" t="s">
        <v>200</v>
      </c>
      <c r="F20" s="8" t="s">
        <v>148</v>
      </c>
      <c r="G20" s="7" t="s">
        <v>193</v>
      </c>
      <c r="H20" s="7" t="s">
        <v>14</v>
      </c>
      <c r="I20" s="7">
        <v>5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5</v>
      </c>
      <c r="W20" s="7">
        <v>2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</row>
    <row r="21" spans="1:42" ht="18" customHeight="1" x14ac:dyDescent="0.35">
      <c r="A21" s="7" t="s">
        <v>36</v>
      </c>
      <c r="B21" s="7" t="s">
        <v>201</v>
      </c>
      <c r="C21" s="8" t="s">
        <v>202</v>
      </c>
      <c r="D21" s="7" t="s">
        <v>200</v>
      </c>
      <c r="E21" s="7" t="s">
        <v>200</v>
      </c>
      <c r="F21" s="8" t="s">
        <v>151</v>
      </c>
      <c r="G21" s="7" t="s">
        <v>193</v>
      </c>
      <c r="H21" s="7" t="s">
        <v>14</v>
      </c>
      <c r="I21" s="7">
        <v>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3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</row>
    <row r="22" spans="1:42" ht="18" customHeight="1" x14ac:dyDescent="0.35">
      <c r="A22" s="7" t="s">
        <v>39</v>
      </c>
      <c r="B22" s="7" t="s">
        <v>203</v>
      </c>
      <c r="C22" s="8" t="s">
        <v>204</v>
      </c>
      <c r="D22" s="7" t="s">
        <v>199</v>
      </c>
      <c r="E22" s="7" t="s">
        <v>200</v>
      </c>
      <c r="F22" s="8" t="s">
        <v>144</v>
      </c>
      <c r="G22" s="7" t="s">
        <v>193</v>
      </c>
      <c r="H22" s="7" t="s">
        <v>14</v>
      </c>
      <c r="I22" s="7">
        <v>5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5</v>
      </c>
      <c r="W22" s="7">
        <v>2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</row>
    <row r="23" spans="1:42" ht="18" customHeight="1" x14ac:dyDescent="0.35">
      <c r="A23" s="7" t="s">
        <v>39</v>
      </c>
      <c r="B23" s="7" t="s">
        <v>205</v>
      </c>
      <c r="C23" s="8" t="s">
        <v>206</v>
      </c>
      <c r="D23" s="7" t="s">
        <v>207</v>
      </c>
      <c r="E23" s="7" t="s">
        <v>207</v>
      </c>
      <c r="F23" s="8" t="s">
        <v>148</v>
      </c>
      <c r="G23" s="7" t="s">
        <v>193</v>
      </c>
      <c r="H23" s="7" t="s">
        <v>14</v>
      </c>
      <c r="I23" s="7">
        <v>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</row>
    <row r="24" spans="1:42" ht="18" customHeight="1" x14ac:dyDescent="0.35">
      <c r="A24" s="7" t="s">
        <v>42</v>
      </c>
      <c r="B24" s="7" t="s">
        <v>208</v>
      </c>
      <c r="C24" s="8" t="s">
        <v>209</v>
      </c>
      <c r="D24" s="7" t="s">
        <v>200</v>
      </c>
      <c r="E24" s="7" t="s">
        <v>207</v>
      </c>
      <c r="F24" s="8" t="s">
        <v>151</v>
      </c>
      <c r="G24" s="7" t="s">
        <v>193</v>
      </c>
      <c r="H24" s="7" t="s">
        <v>14</v>
      </c>
      <c r="I24" s="7">
        <v>5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5</v>
      </c>
      <c r="X24" s="7">
        <v>2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</row>
    <row r="25" spans="1:42" ht="18" customHeight="1" x14ac:dyDescent="0.35">
      <c r="A25" s="7" t="s">
        <v>42</v>
      </c>
      <c r="B25" s="7" t="s">
        <v>210</v>
      </c>
      <c r="C25" s="8" t="s">
        <v>211</v>
      </c>
      <c r="D25" s="7" t="s">
        <v>207</v>
      </c>
      <c r="E25" s="7" t="s">
        <v>207</v>
      </c>
      <c r="F25" s="8" t="s">
        <v>144</v>
      </c>
      <c r="G25" s="7" t="s">
        <v>193</v>
      </c>
      <c r="H25" s="7" t="s">
        <v>14</v>
      </c>
      <c r="I25" s="7">
        <v>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</row>
    <row r="26" spans="1:42" ht="18" customHeight="1" x14ac:dyDescent="0.35">
      <c r="A26" s="7" t="s">
        <v>44</v>
      </c>
      <c r="B26" s="7" t="s">
        <v>212</v>
      </c>
      <c r="C26" s="8" t="s">
        <v>213</v>
      </c>
      <c r="D26" s="7" t="s">
        <v>207</v>
      </c>
      <c r="E26" s="7" t="s">
        <v>214</v>
      </c>
      <c r="F26" s="8" t="s">
        <v>148</v>
      </c>
      <c r="G26" s="7" t="s">
        <v>193</v>
      </c>
      <c r="H26" s="7" t="s">
        <v>14</v>
      </c>
      <c r="I26" s="7">
        <v>4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4</v>
      </c>
      <c r="Y26" s="7">
        <v>2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</row>
    <row r="27" spans="1:42" ht="18" customHeight="1" x14ac:dyDescent="0.35">
      <c r="A27" s="7" t="s">
        <v>44</v>
      </c>
      <c r="B27" s="7" t="s">
        <v>215</v>
      </c>
      <c r="C27" s="8" t="s">
        <v>216</v>
      </c>
      <c r="D27" s="7" t="s">
        <v>214</v>
      </c>
      <c r="E27" s="7" t="s">
        <v>214</v>
      </c>
      <c r="F27" s="8" t="s">
        <v>151</v>
      </c>
      <c r="G27" s="7" t="s">
        <v>193</v>
      </c>
      <c r="H27" s="7" t="s">
        <v>14</v>
      </c>
      <c r="I27" s="7">
        <v>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</row>
    <row r="28" spans="1:42" ht="18" customHeight="1" x14ac:dyDescent="0.35">
      <c r="A28" s="7" t="s">
        <v>47</v>
      </c>
      <c r="B28" s="7" t="s">
        <v>217</v>
      </c>
      <c r="C28" s="8" t="s">
        <v>218</v>
      </c>
      <c r="D28" s="7" t="s">
        <v>214</v>
      </c>
      <c r="E28" s="7" t="s">
        <v>219</v>
      </c>
      <c r="F28" s="8" t="s">
        <v>158</v>
      </c>
      <c r="G28" s="7" t="s">
        <v>193</v>
      </c>
      <c r="H28" s="7" t="s">
        <v>14</v>
      </c>
      <c r="I28" s="7">
        <v>3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3</v>
      </c>
      <c r="Z28" s="7">
        <v>2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</row>
    <row r="29" spans="1:42" ht="18" customHeight="1" x14ac:dyDescent="0.35">
      <c r="A29" s="7" t="s">
        <v>47</v>
      </c>
      <c r="B29" s="7" t="s">
        <v>220</v>
      </c>
      <c r="C29" s="8" t="s">
        <v>221</v>
      </c>
      <c r="D29" s="7" t="s">
        <v>219</v>
      </c>
      <c r="E29" s="7" t="s">
        <v>222</v>
      </c>
      <c r="F29" s="8" t="s">
        <v>164</v>
      </c>
      <c r="G29" s="7" t="s">
        <v>193</v>
      </c>
      <c r="H29" s="7" t="s">
        <v>14</v>
      </c>
      <c r="I29" s="7">
        <v>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2</v>
      </c>
      <c r="AA29" s="7">
        <v>1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</row>
    <row r="30" spans="1:42" ht="18" customHeight="1" x14ac:dyDescent="0.35">
      <c r="A30" s="7" t="s">
        <v>51</v>
      </c>
      <c r="B30" s="7" t="s">
        <v>223</v>
      </c>
      <c r="C30" s="8" t="s">
        <v>224</v>
      </c>
      <c r="D30" s="7" t="s">
        <v>225</v>
      </c>
      <c r="E30" s="7" t="s">
        <v>226</v>
      </c>
      <c r="F30" s="8" t="s">
        <v>155</v>
      </c>
      <c r="G30" s="7" t="s">
        <v>193</v>
      </c>
      <c r="H30" s="7" t="s">
        <v>14</v>
      </c>
      <c r="I30" s="7">
        <v>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5</v>
      </c>
      <c r="AD30" s="7">
        <v>2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</row>
    <row r="31" spans="1:42" ht="18" customHeight="1" x14ac:dyDescent="0.35">
      <c r="A31" s="7" t="s">
        <v>51</v>
      </c>
      <c r="B31" s="7" t="s">
        <v>227</v>
      </c>
      <c r="C31" s="8" t="s">
        <v>228</v>
      </c>
      <c r="D31" s="7" t="s">
        <v>226</v>
      </c>
      <c r="E31" s="7" t="s">
        <v>226</v>
      </c>
      <c r="F31" s="8" t="s">
        <v>158</v>
      </c>
      <c r="G31" s="7" t="s">
        <v>193</v>
      </c>
      <c r="H31" s="7" t="s">
        <v>14</v>
      </c>
      <c r="I31" s="7">
        <v>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3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</row>
    <row r="32" spans="1:42" ht="18" customHeight="1" x14ac:dyDescent="0.35">
      <c r="A32" s="7" t="s">
        <v>54</v>
      </c>
      <c r="B32" s="7" t="s">
        <v>229</v>
      </c>
      <c r="C32" s="8" t="s">
        <v>230</v>
      </c>
      <c r="D32" s="7" t="s">
        <v>226</v>
      </c>
      <c r="E32" s="7" t="s">
        <v>231</v>
      </c>
      <c r="F32" s="8" t="s">
        <v>232</v>
      </c>
      <c r="G32" s="7" t="s">
        <v>193</v>
      </c>
      <c r="H32" s="7" t="s">
        <v>14</v>
      </c>
      <c r="I32" s="7">
        <v>6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6</v>
      </c>
      <c r="AE32" s="7">
        <v>3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</row>
    <row r="33" spans="1:42" ht="18" customHeight="1" x14ac:dyDescent="0.35">
      <c r="A33" s="7" t="s">
        <v>54</v>
      </c>
      <c r="B33" s="7" t="s">
        <v>233</v>
      </c>
      <c r="C33" s="8" t="s">
        <v>234</v>
      </c>
      <c r="D33" s="7" t="s">
        <v>231</v>
      </c>
      <c r="E33" s="7" t="s">
        <v>231</v>
      </c>
      <c r="F33" s="8" t="s">
        <v>235</v>
      </c>
      <c r="G33" s="7" t="s">
        <v>193</v>
      </c>
      <c r="H33" s="7" t="s">
        <v>14</v>
      </c>
      <c r="I33" s="7">
        <v>4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4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</row>
    <row r="34" spans="1:42" ht="18" customHeight="1" x14ac:dyDescent="0.35">
      <c r="A34" s="7" t="s">
        <v>58</v>
      </c>
      <c r="B34" s="7" t="s">
        <v>236</v>
      </c>
      <c r="C34" s="8" t="s">
        <v>237</v>
      </c>
      <c r="D34" s="7" t="s">
        <v>231</v>
      </c>
      <c r="E34" s="7" t="s">
        <v>238</v>
      </c>
      <c r="F34" s="8" t="s">
        <v>239</v>
      </c>
      <c r="G34" s="7" t="s">
        <v>193</v>
      </c>
      <c r="H34" s="7" t="s">
        <v>14</v>
      </c>
      <c r="I34" s="7">
        <v>5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5</v>
      </c>
      <c r="AF34" s="7">
        <v>2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</row>
    <row r="35" spans="1:42" ht="18" customHeight="1" x14ac:dyDescent="0.35">
      <c r="A35" s="7" t="s">
        <v>58</v>
      </c>
      <c r="B35" s="7" t="s">
        <v>240</v>
      </c>
      <c r="C35" s="8" t="s">
        <v>241</v>
      </c>
      <c r="D35" s="7" t="s">
        <v>238</v>
      </c>
      <c r="E35" s="7" t="s">
        <v>238</v>
      </c>
      <c r="F35" s="8" t="s">
        <v>232</v>
      </c>
      <c r="G35" s="7" t="s">
        <v>193</v>
      </c>
      <c r="H35" s="7" t="s">
        <v>14</v>
      </c>
      <c r="I35" s="7">
        <v>4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4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</row>
    <row r="36" spans="1:42" ht="18" customHeight="1" x14ac:dyDescent="0.35">
      <c r="A36" s="7" t="s">
        <v>61</v>
      </c>
      <c r="B36" s="7" t="s">
        <v>242</v>
      </c>
      <c r="C36" s="8" t="s">
        <v>243</v>
      </c>
      <c r="D36" s="7" t="s">
        <v>238</v>
      </c>
      <c r="E36" s="7" t="s">
        <v>244</v>
      </c>
      <c r="F36" s="8" t="s">
        <v>168</v>
      </c>
      <c r="G36" s="7" t="s">
        <v>193</v>
      </c>
      <c r="H36" s="7" t="s">
        <v>14</v>
      </c>
      <c r="I36" s="7">
        <v>4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4</v>
      </c>
      <c r="AG36" s="7">
        <v>2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</row>
    <row r="37" spans="1:42" ht="18" customHeight="1" x14ac:dyDescent="0.35">
      <c r="A37" s="7" t="s">
        <v>61</v>
      </c>
      <c r="B37" s="7" t="s">
        <v>245</v>
      </c>
      <c r="C37" s="8" t="s">
        <v>246</v>
      </c>
      <c r="D37" s="7" t="s">
        <v>244</v>
      </c>
      <c r="E37" s="7" t="s">
        <v>244</v>
      </c>
      <c r="F37" s="8" t="s">
        <v>172</v>
      </c>
      <c r="G37" s="7" t="s">
        <v>193</v>
      </c>
      <c r="H37" s="7" t="s">
        <v>14</v>
      </c>
      <c r="I37" s="7">
        <v>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4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</row>
    <row r="38" spans="1:42" ht="18" customHeight="1" x14ac:dyDescent="0.35">
      <c r="A38" s="7" t="s">
        <v>61</v>
      </c>
      <c r="B38" s="7" t="s">
        <v>247</v>
      </c>
      <c r="C38" s="8" t="s">
        <v>248</v>
      </c>
      <c r="D38" s="7" t="s">
        <v>249</v>
      </c>
      <c r="E38" s="7" t="s">
        <v>249</v>
      </c>
      <c r="F38" s="8" t="s">
        <v>176</v>
      </c>
      <c r="G38" s="7" t="s">
        <v>193</v>
      </c>
      <c r="H38" s="7" t="s">
        <v>14</v>
      </c>
      <c r="I38" s="7">
        <v>3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3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</row>
    <row r="39" spans="1:42" ht="18" customHeight="1" x14ac:dyDescent="0.35">
      <c r="A39" s="7" t="s">
        <v>65</v>
      </c>
      <c r="B39" s="7" t="s">
        <v>250</v>
      </c>
      <c r="C39" s="8" t="s">
        <v>251</v>
      </c>
      <c r="D39" s="7" t="s">
        <v>252</v>
      </c>
      <c r="E39" s="7" t="s">
        <v>252</v>
      </c>
      <c r="F39" s="8" t="s">
        <v>235</v>
      </c>
      <c r="G39" s="7" t="s">
        <v>193</v>
      </c>
      <c r="H39" s="7" t="s">
        <v>14</v>
      </c>
      <c r="I39" s="7">
        <v>4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4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</row>
    <row r="40" spans="1:42" ht="18" customHeight="1" x14ac:dyDescent="0.35">
      <c r="A40" s="7" t="s">
        <v>65</v>
      </c>
      <c r="B40" s="7" t="s">
        <v>253</v>
      </c>
      <c r="C40" s="8" t="s">
        <v>254</v>
      </c>
      <c r="D40" s="7" t="s">
        <v>252</v>
      </c>
      <c r="E40" s="7" t="s">
        <v>255</v>
      </c>
      <c r="F40" s="8" t="s">
        <v>239</v>
      </c>
      <c r="G40" s="7" t="s">
        <v>193</v>
      </c>
      <c r="H40" s="7" t="s">
        <v>14</v>
      </c>
      <c r="I40" s="7">
        <v>3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3</v>
      </c>
      <c r="AK40" s="7">
        <v>2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</row>
    <row r="41" spans="1:42" ht="18" customHeight="1" x14ac:dyDescent="0.35">
      <c r="A41" s="7" t="s">
        <v>65</v>
      </c>
      <c r="B41" s="7" t="s">
        <v>256</v>
      </c>
      <c r="C41" s="8" t="s">
        <v>257</v>
      </c>
      <c r="D41" s="7" t="s">
        <v>252</v>
      </c>
      <c r="E41" s="7" t="s">
        <v>255</v>
      </c>
      <c r="F41" s="8" t="s">
        <v>232</v>
      </c>
      <c r="G41" s="7" t="s">
        <v>193</v>
      </c>
      <c r="H41" s="7" t="s">
        <v>14</v>
      </c>
      <c r="I41" s="7">
        <v>3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3</v>
      </c>
      <c r="AK41" s="7">
        <v>2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</row>
    <row r="42" spans="1:42" ht="18" customHeight="1" x14ac:dyDescent="0.35">
      <c r="A42" s="7" t="s">
        <v>68</v>
      </c>
      <c r="B42" s="7" t="s">
        <v>258</v>
      </c>
      <c r="C42" s="8" t="s">
        <v>259</v>
      </c>
      <c r="D42" s="7" t="s">
        <v>255</v>
      </c>
      <c r="E42" s="7" t="s">
        <v>255</v>
      </c>
      <c r="F42" s="8" t="s">
        <v>235</v>
      </c>
      <c r="G42" s="7" t="s">
        <v>193</v>
      </c>
      <c r="H42" s="7" t="s">
        <v>14</v>
      </c>
      <c r="I42" s="7">
        <v>5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5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</row>
    <row r="43" spans="1:42" ht="18" customHeight="1" x14ac:dyDescent="0.35">
      <c r="A43" s="7" t="s">
        <v>68</v>
      </c>
      <c r="B43" s="7" t="s">
        <v>260</v>
      </c>
      <c r="C43" s="8" t="s">
        <v>261</v>
      </c>
      <c r="D43" s="7" t="s">
        <v>255</v>
      </c>
      <c r="E43" s="7" t="s">
        <v>262</v>
      </c>
      <c r="F43" s="8" t="s">
        <v>239</v>
      </c>
      <c r="G43" s="7" t="s">
        <v>193</v>
      </c>
      <c r="H43" s="7" t="s">
        <v>14</v>
      </c>
      <c r="I43" s="7">
        <v>4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4</v>
      </c>
      <c r="AL43" s="7">
        <v>2</v>
      </c>
      <c r="AM43" s="7">
        <v>0</v>
      </c>
      <c r="AN43" s="7">
        <v>0</v>
      </c>
      <c r="AO43" s="7">
        <v>0</v>
      </c>
      <c r="AP43" s="7">
        <v>0</v>
      </c>
    </row>
    <row r="44" spans="1:42" ht="18" customHeight="1" x14ac:dyDescent="0.35">
      <c r="A44" s="7" t="s">
        <v>71</v>
      </c>
      <c r="B44" s="7" t="s">
        <v>263</v>
      </c>
      <c r="C44" s="8" t="s">
        <v>264</v>
      </c>
      <c r="D44" s="7" t="s">
        <v>255</v>
      </c>
      <c r="E44" s="7" t="s">
        <v>262</v>
      </c>
      <c r="F44" s="8" t="s">
        <v>232</v>
      </c>
      <c r="G44" s="7" t="s">
        <v>193</v>
      </c>
      <c r="H44" s="7" t="s">
        <v>14</v>
      </c>
      <c r="I44" s="7">
        <v>4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4</v>
      </c>
      <c r="AL44" s="7">
        <v>2</v>
      </c>
      <c r="AM44" s="7">
        <v>0</v>
      </c>
      <c r="AN44" s="7">
        <v>0</v>
      </c>
      <c r="AO44" s="7">
        <v>0</v>
      </c>
      <c r="AP44" s="7">
        <v>0</v>
      </c>
    </row>
    <row r="45" spans="1:42" ht="18" customHeight="1" x14ac:dyDescent="0.35">
      <c r="A45" s="7" t="s">
        <v>71</v>
      </c>
      <c r="B45" s="7" t="s">
        <v>265</v>
      </c>
      <c r="C45" s="8" t="s">
        <v>266</v>
      </c>
      <c r="D45" s="7" t="s">
        <v>262</v>
      </c>
      <c r="E45" s="7" t="s">
        <v>262</v>
      </c>
      <c r="F45" s="8" t="s">
        <v>235</v>
      </c>
      <c r="G45" s="7" t="s">
        <v>193</v>
      </c>
      <c r="H45" s="7" t="s">
        <v>14</v>
      </c>
      <c r="I45" s="7">
        <v>4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4</v>
      </c>
      <c r="AM45" s="7">
        <v>0</v>
      </c>
      <c r="AN45" s="7">
        <v>0</v>
      </c>
      <c r="AO45" s="7">
        <v>0</v>
      </c>
      <c r="AP45" s="7">
        <v>0</v>
      </c>
    </row>
    <row r="46" spans="1:42" ht="18" customHeight="1" x14ac:dyDescent="0.35">
      <c r="A46" s="7" t="s">
        <v>74</v>
      </c>
      <c r="B46" s="7" t="s">
        <v>267</v>
      </c>
      <c r="C46" s="8" t="s">
        <v>268</v>
      </c>
      <c r="D46" s="7" t="s">
        <v>262</v>
      </c>
      <c r="E46" s="7" t="s">
        <v>269</v>
      </c>
      <c r="F46" s="8" t="s">
        <v>239</v>
      </c>
      <c r="G46" s="7" t="s">
        <v>193</v>
      </c>
      <c r="H46" s="7" t="s">
        <v>14</v>
      </c>
      <c r="I46" s="7">
        <v>4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4</v>
      </c>
      <c r="AM46" s="7">
        <v>2</v>
      </c>
      <c r="AN46" s="7">
        <v>0</v>
      </c>
      <c r="AO46" s="7">
        <v>0</v>
      </c>
      <c r="AP46" s="7">
        <v>0</v>
      </c>
    </row>
    <row r="47" spans="1:42" ht="18" customHeight="1" x14ac:dyDescent="0.35">
      <c r="A47" s="7" t="s">
        <v>74</v>
      </c>
      <c r="B47" s="7" t="s">
        <v>270</v>
      </c>
      <c r="C47" s="8" t="s">
        <v>271</v>
      </c>
      <c r="D47" s="7" t="s">
        <v>262</v>
      </c>
      <c r="E47" s="7" t="s">
        <v>269</v>
      </c>
      <c r="F47" s="8" t="s">
        <v>232</v>
      </c>
      <c r="G47" s="7" t="s">
        <v>193</v>
      </c>
      <c r="H47" s="7" t="s">
        <v>14</v>
      </c>
      <c r="I47" s="7">
        <v>3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3</v>
      </c>
      <c r="AM47" s="7">
        <v>2</v>
      </c>
      <c r="AN47" s="7">
        <v>0</v>
      </c>
      <c r="AO47" s="7">
        <v>0</v>
      </c>
      <c r="AP47" s="7">
        <v>0</v>
      </c>
    </row>
    <row r="48" spans="1:42" ht="18" customHeight="1" x14ac:dyDescent="0.35">
      <c r="A48" s="7" t="s">
        <v>77</v>
      </c>
      <c r="B48" s="7" t="s">
        <v>272</v>
      </c>
      <c r="C48" s="8" t="s">
        <v>273</v>
      </c>
      <c r="D48" s="7" t="s">
        <v>262</v>
      </c>
      <c r="E48" s="7" t="s">
        <v>269</v>
      </c>
      <c r="F48" s="8" t="s">
        <v>168</v>
      </c>
      <c r="G48" s="7" t="s">
        <v>193</v>
      </c>
      <c r="H48" s="7" t="s">
        <v>14</v>
      </c>
      <c r="I48" s="7">
        <v>5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5</v>
      </c>
      <c r="AM48" s="7">
        <v>2</v>
      </c>
      <c r="AN48" s="7">
        <v>0</v>
      </c>
      <c r="AO48" s="7">
        <v>0</v>
      </c>
      <c r="AP48" s="7">
        <v>0</v>
      </c>
    </row>
    <row r="49" spans="1:42" ht="18" customHeight="1" x14ac:dyDescent="0.35">
      <c r="A49" s="7" t="s">
        <v>77</v>
      </c>
      <c r="B49" s="7" t="s">
        <v>274</v>
      </c>
      <c r="C49" s="8" t="s">
        <v>275</v>
      </c>
      <c r="D49" s="7" t="s">
        <v>269</v>
      </c>
      <c r="E49" s="7" t="s">
        <v>269</v>
      </c>
      <c r="F49" s="8" t="s">
        <v>172</v>
      </c>
      <c r="G49" s="7" t="s">
        <v>193</v>
      </c>
      <c r="H49" s="7" t="s">
        <v>14</v>
      </c>
      <c r="I49" s="7">
        <v>3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3</v>
      </c>
      <c r="AN49" s="7">
        <v>0</v>
      </c>
      <c r="AO49" s="7">
        <v>0</v>
      </c>
      <c r="AP49" s="7">
        <v>0</v>
      </c>
    </row>
    <row r="50" spans="1:42" ht="18" customHeight="1" x14ac:dyDescent="0.35">
      <c r="A50" s="7" t="s">
        <v>80</v>
      </c>
      <c r="B50" s="7" t="s">
        <v>276</v>
      </c>
      <c r="C50" s="8" t="s">
        <v>277</v>
      </c>
      <c r="D50" s="7" t="s">
        <v>269</v>
      </c>
      <c r="E50" s="7" t="s">
        <v>269</v>
      </c>
      <c r="F50" s="8" t="s">
        <v>176</v>
      </c>
      <c r="G50" s="7" t="s">
        <v>193</v>
      </c>
      <c r="H50" s="7" t="s">
        <v>14</v>
      </c>
      <c r="I50" s="7">
        <v>4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4</v>
      </c>
      <c r="AN50" s="7">
        <v>0</v>
      </c>
      <c r="AO50" s="7">
        <v>0</v>
      </c>
      <c r="AP50" s="7">
        <v>0</v>
      </c>
    </row>
    <row r="51" spans="1:42" ht="18" customHeight="1" x14ac:dyDescent="0.35">
      <c r="A51" s="7" t="s">
        <v>80</v>
      </c>
      <c r="B51" s="7" t="s">
        <v>278</v>
      </c>
      <c r="C51" s="8" t="s">
        <v>279</v>
      </c>
      <c r="D51" s="7" t="s">
        <v>269</v>
      </c>
      <c r="E51" s="7" t="s">
        <v>280</v>
      </c>
      <c r="F51" s="8" t="s">
        <v>168</v>
      </c>
      <c r="G51" s="7" t="s">
        <v>193</v>
      </c>
      <c r="H51" s="7" t="s">
        <v>14</v>
      </c>
      <c r="I51" s="7">
        <v>3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3</v>
      </c>
      <c r="AN51" s="7">
        <v>2</v>
      </c>
      <c r="AO51" s="7">
        <v>0</v>
      </c>
      <c r="AP51" s="7">
        <v>0</v>
      </c>
    </row>
    <row r="52" spans="1:42" ht="18" customHeight="1" x14ac:dyDescent="0.35">
      <c r="A52" s="7" t="s">
        <v>82</v>
      </c>
      <c r="B52" s="7" t="s">
        <v>281</v>
      </c>
      <c r="C52" s="8" t="s">
        <v>282</v>
      </c>
      <c r="D52" s="7" t="s">
        <v>269</v>
      </c>
      <c r="E52" s="7" t="s">
        <v>280</v>
      </c>
      <c r="F52" s="8" t="s">
        <v>144</v>
      </c>
      <c r="G52" s="7" t="s">
        <v>169</v>
      </c>
      <c r="H52" s="7" t="s">
        <v>14</v>
      </c>
      <c r="I52" s="7">
        <v>3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3</v>
      </c>
      <c r="AN52" s="7">
        <v>2</v>
      </c>
      <c r="AO52" s="7">
        <v>0</v>
      </c>
      <c r="AP52" s="7">
        <v>0</v>
      </c>
    </row>
    <row r="53" spans="1:42" ht="18" customHeight="1" x14ac:dyDescent="0.35">
      <c r="A53" s="7" t="s">
        <v>82</v>
      </c>
      <c r="B53" s="7" t="s">
        <v>283</v>
      </c>
      <c r="C53" s="8" t="s">
        <v>284</v>
      </c>
      <c r="D53" s="7" t="s">
        <v>280</v>
      </c>
      <c r="E53" s="7" t="s">
        <v>280</v>
      </c>
      <c r="F53" s="8" t="s">
        <v>148</v>
      </c>
      <c r="G53" s="7" t="s">
        <v>169</v>
      </c>
      <c r="H53" s="7" t="s">
        <v>14</v>
      </c>
      <c r="I53" s="7">
        <v>2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2</v>
      </c>
      <c r="AO53" s="7">
        <v>0</v>
      </c>
      <c r="AP53" s="7">
        <v>0</v>
      </c>
    </row>
    <row r="54" spans="1:42" ht="18" customHeight="1" x14ac:dyDescent="0.35">
      <c r="A54" s="7" t="s">
        <v>84</v>
      </c>
      <c r="B54" s="7" t="s">
        <v>285</v>
      </c>
      <c r="C54" s="8" t="s">
        <v>286</v>
      </c>
      <c r="D54" s="7" t="s">
        <v>280</v>
      </c>
      <c r="E54" s="7" t="s">
        <v>280</v>
      </c>
      <c r="F54" s="8" t="s">
        <v>168</v>
      </c>
      <c r="G54" s="7" t="s">
        <v>193</v>
      </c>
      <c r="H54" s="7" t="s">
        <v>14</v>
      </c>
      <c r="I54" s="7">
        <v>6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6</v>
      </c>
      <c r="AO54" s="7">
        <v>0</v>
      </c>
      <c r="AP54" s="7">
        <v>0</v>
      </c>
    </row>
    <row r="55" spans="1:42" ht="18" customHeight="1" x14ac:dyDescent="0.35">
      <c r="A55" s="7" t="s">
        <v>84</v>
      </c>
      <c r="B55" s="7" t="s">
        <v>287</v>
      </c>
      <c r="C55" s="8" t="s">
        <v>288</v>
      </c>
      <c r="D55" s="7" t="s">
        <v>280</v>
      </c>
      <c r="E55" s="7" t="s">
        <v>289</v>
      </c>
      <c r="F55" s="8" t="s">
        <v>172</v>
      </c>
      <c r="G55" s="7" t="s">
        <v>193</v>
      </c>
      <c r="H55" s="7" t="s">
        <v>14</v>
      </c>
      <c r="I55" s="7">
        <v>5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5</v>
      </c>
      <c r="AO55" s="7">
        <v>2</v>
      </c>
      <c r="AP55" s="7">
        <v>0</v>
      </c>
    </row>
    <row r="56" spans="1:42" ht="18" customHeight="1" x14ac:dyDescent="0.35">
      <c r="A56" s="7" t="s">
        <v>84</v>
      </c>
      <c r="B56" s="7" t="s">
        <v>290</v>
      </c>
      <c r="C56" s="8" t="s">
        <v>291</v>
      </c>
      <c r="D56" s="7" t="s">
        <v>280</v>
      </c>
      <c r="E56" s="7" t="s">
        <v>289</v>
      </c>
      <c r="F56" s="8" t="s">
        <v>176</v>
      </c>
      <c r="G56" s="7" t="s">
        <v>193</v>
      </c>
      <c r="H56" s="7" t="s">
        <v>14</v>
      </c>
      <c r="I56" s="7">
        <v>3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3</v>
      </c>
      <c r="AO56" s="7">
        <v>2</v>
      </c>
      <c r="AP56" s="7">
        <v>0</v>
      </c>
    </row>
    <row r="57" spans="1:42" ht="18" customHeight="1" x14ac:dyDescent="0.35">
      <c r="A57" s="7" t="s">
        <v>87</v>
      </c>
      <c r="B57" s="7" t="s">
        <v>292</v>
      </c>
      <c r="C57" s="8" t="s">
        <v>293</v>
      </c>
      <c r="D57" s="7" t="s">
        <v>289</v>
      </c>
      <c r="E57" s="7" t="s">
        <v>289</v>
      </c>
      <c r="F57" s="8" t="s">
        <v>235</v>
      </c>
      <c r="G57" s="7" t="s">
        <v>193</v>
      </c>
      <c r="H57" s="7" t="s">
        <v>14</v>
      </c>
      <c r="I57" s="7">
        <v>4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4</v>
      </c>
      <c r="AP57" s="7">
        <v>0</v>
      </c>
    </row>
    <row r="58" spans="1:42" ht="18" customHeight="1" x14ac:dyDescent="0.35">
      <c r="A58" s="7" t="s">
        <v>87</v>
      </c>
      <c r="B58" s="7" t="s">
        <v>294</v>
      </c>
      <c r="C58" s="8" t="s">
        <v>295</v>
      </c>
      <c r="D58" s="7" t="s">
        <v>289</v>
      </c>
      <c r="E58" s="7" t="s">
        <v>289</v>
      </c>
      <c r="F58" s="8" t="s">
        <v>239</v>
      </c>
      <c r="G58" s="7" t="s">
        <v>193</v>
      </c>
      <c r="H58" s="7" t="s">
        <v>14</v>
      </c>
      <c r="I58" s="7">
        <v>3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3</v>
      </c>
      <c r="AP58" s="7">
        <v>0</v>
      </c>
    </row>
    <row r="59" spans="1:42" ht="18" customHeight="1" x14ac:dyDescent="0.35">
      <c r="A59" s="7" t="s">
        <v>91</v>
      </c>
      <c r="B59" s="7" t="s">
        <v>296</v>
      </c>
      <c r="C59" s="8" t="s">
        <v>297</v>
      </c>
      <c r="D59" s="7" t="s">
        <v>289</v>
      </c>
      <c r="E59" s="7" t="s">
        <v>289</v>
      </c>
      <c r="F59" s="8" t="s">
        <v>168</v>
      </c>
      <c r="G59" s="7" t="s">
        <v>169</v>
      </c>
      <c r="H59" s="7" t="s">
        <v>14</v>
      </c>
      <c r="I59" s="7">
        <v>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3</v>
      </c>
      <c r="AP59" s="7">
        <v>0</v>
      </c>
    </row>
    <row r="60" spans="1:42" ht="18" customHeight="1" x14ac:dyDescent="0.35">
      <c r="A60" s="7" t="s">
        <v>91</v>
      </c>
      <c r="B60" s="7" t="s">
        <v>298</v>
      </c>
      <c r="C60" s="8" t="s">
        <v>299</v>
      </c>
      <c r="D60" s="7" t="s">
        <v>289</v>
      </c>
      <c r="E60" s="7" t="s">
        <v>300</v>
      </c>
      <c r="F60" s="8" t="s">
        <v>172</v>
      </c>
      <c r="G60" s="7" t="s">
        <v>169</v>
      </c>
      <c r="H60" s="7" t="s">
        <v>14</v>
      </c>
      <c r="I60" s="7">
        <v>2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2</v>
      </c>
      <c r="AP60" s="7">
        <v>1</v>
      </c>
    </row>
    <row r="61" spans="1:42" ht="18" customHeight="1" x14ac:dyDescent="0.35">
      <c r="A61" s="7" t="s">
        <v>94</v>
      </c>
      <c r="B61" s="7" t="s">
        <v>301</v>
      </c>
      <c r="C61" s="8" t="s">
        <v>302</v>
      </c>
      <c r="D61" s="7" t="s">
        <v>289</v>
      </c>
      <c r="E61" s="7" t="s">
        <v>300</v>
      </c>
      <c r="F61" s="8" t="s">
        <v>176</v>
      </c>
      <c r="G61" s="7" t="s">
        <v>303</v>
      </c>
      <c r="H61" s="7" t="s">
        <v>14</v>
      </c>
      <c r="I61" s="7">
        <v>5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5</v>
      </c>
      <c r="AP61" s="7">
        <v>2</v>
      </c>
    </row>
    <row r="62" spans="1:42" ht="18" customHeight="1" x14ac:dyDescent="0.35">
      <c r="A62" s="7" t="s">
        <v>94</v>
      </c>
      <c r="B62" s="7" t="s">
        <v>304</v>
      </c>
      <c r="C62" s="8" t="s">
        <v>305</v>
      </c>
      <c r="D62" s="7" t="s">
        <v>300</v>
      </c>
      <c r="E62" s="7" t="s">
        <v>300</v>
      </c>
      <c r="F62" s="8" t="s">
        <v>168</v>
      </c>
      <c r="G62" s="7" t="s">
        <v>303</v>
      </c>
      <c r="H62" s="7" t="s">
        <v>14</v>
      </c>
      <c r="I62" s="7">
        <v>4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4</v>
      </c>
    </row>
    <row r="63" spans="1:42" ht="18" customHeight="1" x14ac:dyDescent="0.35">
      <c r="A63" s="7" t="s">
        <v>94</v>
      </c>
      <c r="B63" s="7" t="s">
        <v>306</v>
      </c>
      <c r="C63" s="8" t="s">
        <v>307</v>
      </c>
      <c r="D63" s="7" t="s">
        <v>300</v>
      </c>
      <c r="E63" s="7" t="s">
        <v>300</v>
      </c>
      <c r="F63" s="8" t="s">
        <v>172</v>
      </c>
      <c r="G63" s="7" t="s">
        <v>303</v>
      </c>
      <c r="H63" s="7" t="s">
        <v>14</v>
      </c>
      <c r="I63" s="7">
        <v>3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3</v>
      </c>
    </row>
    <row r="64" spans="1:42" ht="18" customHeight="1" x14ac:dyDescent="0.35">
      <c r="A64" s="7" t="s">
        <v>97</v>
      </c>
      <c r="B64" s="7" t="s">
        <v>308</v>
      </c>
      <c r="C64" s="8" t="s">
        <v>309</v>
      </c>
      <c r="D64" s="7" t="s">
        <v>300</v>
      </c>
      <c r="E64" s="7" t="s">
        <v>300</v>
      </c>
      <c r="F64" s="8" t="s">
        <v>235</v>
      </c>
      <c r="G64" s="7" t="s">
        <v>310</v>
      </c>
      <c r="H64" s="7" t="s">
        <v>14</v>
      </c>
      <c r="I64" s="7">
        <v>3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3</v>
      </c>
    </row>
    <row r="65" spans="1:42" ht="18" customHeight="1" x14ac:dyDescent="0.35">
      <c r="A65" s="7" t="s">
        <v>97</v>
      </c>
      <c r="B65" s="7" t="s">
        <v>311</v>
      </c>
      <c r="C65" s="8" t="s">
        <v>312</v>
      </c>
      <c r="D65" s="7" t="s">
        <v>300</v>
      </c>
      <c r="E65" s="7" t="s">
        <v>300</v>
      </c>
      <c r="F65" s="8" t="s">
        <v>232</v>
      </c>
      <c r="G65" s="7" t="s">
        <v>310</v>
      </c>
      <c r="H65" s="7" t="s">
        <v>14</v>
      </c>
      <c r="I65" s="7">
        <v>3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3</v>
      </c>
    </row>
    <row r="66" spans="1:42" ht="18" customHeight="1" x14ac:dyDescent="0.35">
      <c r="A66" s="7" t="s">
        <v>97</v>
      </c>
      <c r="B66" s="7" t="s">
        <v>313</v>
      </c>
      <c r="C66" s="8" t="s">
        <v>314</v>
      </c>
      <c r="D66" s="7" t="s">
        <v>300</v>
      </c>
      <c r="E66" s="7" t="s">
        <v>300</v>
      </c>
      <c r="F66" s="8" t="s">
        <v>239</v>
      </c>
      <c r="G66" s="7" t="s">
        <v>310</v>
      </c>
      <c r="H66" s="7" t="s">
        <v>14</v>
      </c>
      <c r="I66" s="7">
        <v>2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zoomScale="73" zoomScaleNormal="73" workbookViewId="0">
      <selection activeCell="G8" sqref="G8"/>
    </sheetView>
  </sheetViews>
  <sheetFormatPr defaultColWidth="8.6328125" defaultRowHeight="14.5" x14ac:dyDescent="0.35"/>
  <cols>
    <col min="1" max="1" width="12" customWidth="1"/>
    <col min="2" max="2" width="18" customWidth="1"/>
    <col min="3" max="3" width="62" customWidth="1"/>
    <col min="4" max="4" width="65" customWidth="1"/>
  </cols>
  <sheetData>
    <row r="1" spans="1:4" ht="42" customHeight="1" x14ac:dyDescent="0.35">
      <c r="A1" s="9" t="s">
        <v>315</v>
      </c>
      <c r="B1" s="9" t="s">
        <v>316</v>
      </c>
      <c r="C1" s="9" t="s">
        <v>317</v>
      </c>
      <c r="D1" s="9" t="s">
        <v>318</v>
      </c>
    </row>
    <row r="2" spans="1:4" ht="42" customHeight="1" x14ac:dyDescent="0.35">
      <c r="A2" s="10" t="s">
        <v>319</v>
      </c>
      <c r="B2" s="10" t="s">
        <v>320</v>
      </c>
      <c r="C2" s="11" t="s">
        <v>321</v>
      </c>
      <c r="D2" s="11" t="s">
        <v>322</v>
      </c>
    </row>
    <row r="3" spans="1:4" ht="42" customHeight="1" x14ac:dyDescent="0.35">
      <c r="A3" s="10" t="s">
        <v>319</v>
      </c>
      <c r="B3" s="10" t="s">
        <v>323</v>
      </c>
      <c r="C3" s="11" t="s">
        <v>324</v>
      </c>
      <c r="D3" s="11" t="s">
        <v>325</v>
      </c>
    </row>
    <row r="4" spans="1:4" ht="42" customHeight="1" x14ac:dyDescent="0.35">
      <c r="A4" s="10" t="s">
        <v>319</v>
      </c>
      <c r="B4" s="10" t="s">
        <v>326</v>
      </c>
      <c r="C4" s="11" t="s">
        <v>327</v>
      </c>
      <c r="D4" s="11" t="s">
        <v>328</v>
      </c>
    </row>
    <row r="5" spans="1:4" ht="42" customHeight="1" x14ac:dyDescent="0.35">
      <c r="A5" s="10" t="s">
        <v>329</v>
      </c>
      <c r="B5" s="10" t="s">
        <v>330</v>
      </c>
      <c r="C5" s="11" t="s">
        <v>331</v>
      </c>
      <c r="D5" s="11" t="s">
        <v>332</v>
      </c>
    </row>
    <row r="6" spans="1:4" ht="42" customHeight="1" x14ac:dyDescent="0.35">
      <c r="A6" s="10" t="s">
        <v>329</v>
      </c>
      <c r="B6" s="10" t="s">
        <v>333</v>
      </c>
      <c r="C6" s="11" t="s">
        <v>334</v>
      </c>
      <c r="D6" s="11" t="s">
        <v>335</v>
      </c>
    </row>
    <row r="7" spans="1:4" ht="42" customHeight="1" x14ac:dyDescent="0.35">
      <c r="A7" s="10" t="s">
        <v>329</v>
      </c>
      <c r="B7" s="10" t="s">
        <v>336</v>
      </c>
      <c r="C7" s="11" t="s">
        <v>337</v>
      </c>
      <c r="D7" s="11" t="s">
        <v>338</v>
      </c>
    </row>
    <row r="8" spans="1:4" ht="42" customHeight="1" x14ac:dyDescent="0.35">
      <c r="A8" s="10" t="s">
        <v>329</v>
      </c>
      <c r="B8" s="10" t="s">
        <v>339</v>
      </c>
      <c r="C8" s="11" t="s">
        <v>340</v>
      </c>
      <c r="D8" s="11" t="s">
        <v>341</v>
      </c>
    </row>
    <row r="9" spans="1:4" ht="42" customHeight="1" x14ac:dyDescent="0.35">
      <c r="A9" s="10" t="s">
        <v>342</v>
      </c>
      <c r="B9" s="10" t="s">
        <v>343</v>
      </c>
      <c r="C9" s="11" t="s">
        <v>344</v>
      </c>
      <c r="D9" s="11" t="s">
        <v>345</v>
      </c>
    </row>
    <row r="10" spans="1:4" ht="42" customHeight="1" x14ac:dyDescent="0.35">
      <c r="A10" s="10" t="s">
        <v>342</v>
      </c>
      <c r="B10" s="10" t="s">
        <v>346</v>
      </c>
      <c r="C10" s="11" t="s">
        <v>347</v>
      </c>
      <c r="D10" s="11" t="s">
        <v>348</v>
      </c>
    </row>
    <row r="11" spans="1:4" ht="42" customHeight="1" x14ac:dyDescent="0.35">
      <c r="A11" s="10" t="s">
        <v>342</v>
      </c>
      <c r="B11" s="10" t="s">
        <v>349</v>
      </c>
      <c r="C11" s="11" t="s">
        <v>350</v>
      </c>
      <c r="D11" s="11" t="s">
        <v>351</v>
      </c>
    </row>
    <row r="12" spans="1:4" ht="42" customHeight="1" x14ac:dyDescent="0.35">
      <c r="A12" s="10" t="s">
        <v>342</v>
      </c>
      <c r="B12" s="10" t="s">
        <v>352</v>
      </c>
      <c r="C12" s="11" t="s">
        <v>353</v>
      </c>
      <c r="D12" s="11" t="s">
        <v>354</v>
      </c>
    </row>
    <row r="13" spans="1:4" ht="42" customHeight="1" x14ac:dyDescent="0.35">
      <c r="A13" s="10" t="s">
        <v>355</v>
      </c>
      <c r="B13" s="10" t="s">
        <v>356</v>
      </c>
      <c r="C13" s="11" t="s">
        <v>357</v>
      </c>
      <c r="D13" s="11" t="s">
        <v>358</v>
      </c>
    </row>
    <row r="14" spans="1:4" ht="42" customHeight="1" x14ac:dyDescent="0.35">
      <c r="A14" s="10" t="s">
        <v>355</v>
      </c>
      <c r="B14" s="10" t="s">
        <v>359</v>
      </c>
      <c r="C14" s="11" t="s">
        <v>360</v>
      </c>
      <c r="D14" s="11" t="s">
        <v>361</v>
      </c>
    </row>
    <row r="15" spans="1:4" ht="42" customHeight="1" x14ac:dyDescent="0.35">
      <c r="A15" s="10" t="s">
        <v>355</v>
      </c>
      <c r="B15" s="10" t="s">
        <v>362</v>
      </c>
      <c r="C15" s="11" t="s">
        <v>363</v>
      </c>
      <c r="D15" s="11" t="s">
        <v>364</v>
      </c>
    </row>
    <row r="16" spans="1:4" ht="42" customHeight="1" x14ac:dyDescent="0.35">
      <c r="A16" s="10" t="s">
        <v>355</v>
      </c>
      <c r="B16" s="10" t="s">
        <v>365</v>
      </c>
      <c r="C16" s="11" t="s">
        <v>366</v>
      </c>
      <c r="D16" s="11" t="s">
        <v>367</v>
      </c>
    </row>
    <row r="17" spans="1:4" ht="42" customHeight="1" x14ac:dyDescent="0.35">
      <c r="A17" s="10" t="s">
        <v>368</v>
      </c>
      <c r="B17" s="10" t="s">
        <v>369</v>
      </c>
      <c r="C17" s="11" t="s">
        <v>370</v>
      </c>
      <c r="D17" s="11" t="s">
        <v>371</v>
      </c>
    </row>
    <row r="18" spans="1:4" ht="42" customHeight="1" x14ac:dyDescent="0.35">
      <c r="A18" s="10" t="s">
        <v>368</v>
      </c>
      <c r="B18" s="10" t="s">
        <v>372</v>
      </c>
      <c r="C18" s="11" t="s">
        <v>373</v>
      </c>
      <c r="D18" s="11" t="s">
        <v>374</v>
      </c>
    </row>
    <row r="19" spans="1:4" ht="24.75" customHeight="1" x14ac:dyDescent="0.35">
      <c r="A19" s="10" t="s">
        <v>368</v>
      </c>
      <c r="B19" s="10" t="s">
        <v>375</v>
      </c>
      <c r="C19" s="11" t="s">
        <v>376</v>
      </c>
      <c r="D19" s="11" t="s">
        <v>377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zoomScale="85" zoomScaleNormal="85" workbookViewId="0">
      <selection activeCell="F6" sqref="F6"/>
    </sheetView>
  </sheetViews>
  <sheetFormatPr defaultColWidth="8.6328125" defaultRowHeight="14.5" x14ac:dyDescent="0.35"/>
  <cols>
    <col min="1" max="1" width="10" customWidth="1"/>
    <col min="2" max="2" width="11" customWidth="1"/>
    <col min="3" max="3" width="16" customWidth="1"/>
    <col min="4" max="4" width="14" customWidth="1"/>
    <col min="5" max="5" width="20" customWidth="1"/>
    <col min="6" max="6" width="50" customWidth="1"/>
    <col min="7" max="7" width="45" customWidth="1"/>
    <col min="8" max="8" width="40" customWidth="1"/>
    <col min="9" max="9" width="55" customWidth="1"/>
  </cols>
  <sheetData>
    <row r="1" spans="1:9" ht="60" customHeight="1" x14ac:dyDescent="0.35">
      <c r="A1" s="9" t="s">
        <v>378</v>
      </c>
      <c r="B1" s="9" t="s">
        <v>315</v>
      </c>
      <c r="C1" s="9" t="s">
        <v>379</v>
      </c>
      <c r="D1" s="9" t="s">
        <v>380</v>
      </c>
      <c r="E1" s="9" t="s">
        <v>381</v>
      </c>
      <c r="F1" s="9" t="s">
        <v>382</v>
      </c>
      <c r="G1" s="9" t="s">
        <v>383</v>
      </c>
      <c r="H1" s="9" t="s">
        <v>384</v>
      </c>
      <c r="I1" s="9" t="s">
        <v>318</v>
      </c>
    </row>
    <row r="2" spans="1:9" ht="60" customHeight="1" x14ac:dyDescent="0.35">
      <c r="A2" s="10">
        <v>1</v>
      </c>
      <c r="B2" s="10" t="s">
        <v>319</v>
      </c>
      <c r="C2" s="11" t="s">
        <v>385</v>
      </c>
      <c r="D2" s="11" t="s">
        <v>386</v>
      </c>
      <c r="E2" s="11" t="s">
        <v>387</v>
      </c>
      <c r="F2" s="11" t="s">
        <v>388</v>
      </c>
      <c r="G2" s="11" t="s">
        <v>389</v>
      </c>
      <c r="H2" s="11" t="s">
        <v>390</v>
      </c>
      <c r="I2" s="11" t="s">
        <v>391</v>
      </c>
    </row>
    <row r="3" spans="1:9" ht="60" customHeight="1" x14ac:dyDescent="0.35">
      <c r="A3" s="10">
        <v>2</v>
      </c>
      <c r="B3" s="10" t="s">
        <v>329</v>
      </c>
      <c r="C3" s="11" t="s">
        <v>392</v>
      </c>
      <c r="D3" s="11" t="s">
        <v>393</v>
      </c>
      <c r="E3" s="11" t="s">
        <v>394</v>
      </c>
      <c r="F3" s="11" t="s">
        <v>395</v>
      </c>
      <c r="G3" s="11" t="s">
        <v>396</v>
      </c>
      <c r="H3" s="11" t="s">
        <v>397</v>
      </c>
      <c r="I3" s="11" t="s">
        <v>398</v>
      </c>
    </row>
    <row r="4" spans="1:9" ht="60" customHeight="1" x14ac:dyDescent="0.35">
      <c r="A4" s="10">
        <v>3</v>
      </c>
      <c r="B4" s="10" t="s">
        <v>342</v>
      </c>
      <c r="C4" s="11" t="s">
        <v>399</v>
      </c>
      <c r="D4" s="11" t="s">
        <v>400</v>
      </c>
      <c r="E4" s="11" t="s">
        <v>401</v>
      </c>
      <c r="F4" s="11" t="s">
        <v>402</v>
      </c>
      <c r="G4" s="11" t="s">
        <v>403</v>
      </c>
      <c r="H4" s="11" t="s">
        <v>404</v>
      </c>
      <c r="I4" s="11" t="s">
        <v>405</v>
      </c>
    </row>
    <row r="5" spans="1:9" ht="60" customHeight="1" x14ac:dyDescent="0.35">
      <c r="A5" s="10">
        <v>4</v>
      </c>
      <c r="B5" s="10" t="s">
        <v>355</v>
      </c>
      <c r="C5" s="11" t="s">
        <v>406</v>
      </c>
      <c r="D5" s="11" t="s">
        <v>407</v>
      </c>
      <c r="E5" s="11" t="s">
        <v>408</v>
      </c>
      <c r="F5" s="11" t="s">
        <v>409</v>
      </c>
      <c r="G5" s="11" t="s">
        <v>410</v>
      </c>
      <c r="H5" s="11" t="s">
        <v>411</v>
      </c>
      <c r="I5" s="11" t="s">
        <v>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VIBHUSHANA BASKAR</cp:lastModifiedBy>
  <cp:revision>0</cp:revision>
  <dcterms:created xsi:type="dcterms:W3CDTF">2026-03-24T07:45:08Z</dcterms:created>
  <dcterms:modified xsi:type="dcterms:W3CDTF">2026-03-29T07:08:04Z</dcterms:modified>
  <dc:language>en-US</dc:language>
</cp:coreProperties>
</file>